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/>
  <workbookPr/>
  <mc:AlternateContent xmlns:mc="http://schemas.openxmlformats.org/markup-compatibility/2006">
    <mc:Choice Requires="x15">
      <x15ac:absPath xmlns:x15ac="http://schemas.microsoft.com/office/spreadsheetml/2010/11/ac" url="C:\Users\maria\OneDrive\Escritorio\ZEENA\PRODUCCIÓN\PLANTILLAS\"/>
    </mc:Choice>
  </mc:AlternateContent>
  <xr:revisionPtr revIDLastSave="0" documentId="13_ncr:1_{7EBE46F8-70E9-4BB2-A18B-07D2328209D3}" xr6:coauthVersionLast="47" xr6:coauthVersionMax="47" xr10:uidLastSave="{00000000-0000-0000-0000-000000000000}"/>
  <bookViews>
    <workbookView xWindow="-110" yWindow="-110" windowWidth="22620" windowHeight="14220" activeTab="1" xr2:uid="{00000000-000D-0000-FFFF-FFFF00000000}"/>
  </bookViews>
  <sheets>
    <sheet name="CACHÉ Conceptos" sheetId="3" r:id="rId1"/>
    <sheet name="CÁLCULO CACHÉ" sheetId="7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7" i="7" l="1"/>
  <c r="H23" i="7" l="1"/>
  <c r="E33" i="7"/>
  <c r="F33" i="7" s="1"/>
  <c r="D16" i="7"/>
  <c r="F15" i="7"/>
  <c r="F14" i="7"/>
  <c r="E16" i="7" s="1"/>
  <c r="F16" i="7" l="1"/>
  <c r="H17" i="7" s="1"/>
  <c r="H29" i="7"/>
  <c r="H35" i="7"/>
  <c r="H37" i="7" l="1"/>
  <c r="J51" i="7"/>
  <c r="F37" i="7"/>
  <c r="F38" i="7" s="1"/>
  <c r="F40" i="7" s="1"/>
  <c r="F43" i="7" l="1"/>
  <c r="G40" i="7" l="1"/>
  <c r="G42" i="7"/>
  <c r="G14" i="7"/>
  <c r="F44" i="7"/>
  <c r="F45" i="7" s="1"/>
  <c r="G26" i="7"/>
  <c r="G28" i="7"/>
  <c r="G15" i="7"/>
  <c r="G21" i="7"/>
  <c r="J43" i="7"/>
  <c r="G22" i="7"/>
  <c r="G27" i="7"/>
  <c r="G41" i="7"/>
  <c r="G20" i="7"/>
  <c r="G16" i="7"/>
  <c r="G32" i="7"/>
  <c r="G34" i="7"/>
  <c r="G33" i="7"/>
  <c r="G37" i="7"/>
  <c r="I23" i="7" l="1"/>
  <c r="F50" i="7"/>
  <c r="J50" i="7" s="1"/>
  <c r="J48" i="7"/>
  <c r="J44" i="7"/>
  <c r="J45" i="7" s="1"/>
  <c r="I29" i="7"/>
  <c r="I35" i="7"/>
  <c r="I17" i="7"/>
  <c r="I37" i="7" l="1"/>
</calcChain>
</file>

<file path=xl/sharedStrings.xml><?xml version="1.0" encoding="utf-8"?>
<sst xmlns="http://schemas.openxmlformats.org/spreadsheetml/2006/main" count="78" uniqueCount="58">
  <si>
    <t>CONCEPTOS</t>
  </si>
  <si>
    <t>Nº Uds.</t>
  </si>
  <si>
    <t>Coste /Ud.</t>
  </si>
  <si>
    <t>SALARIOS (COSTE EMPRESA)</t>
  </si>
  <si>
    <t>TOTAL SALARIOS</t>
  </si>
  <si>
    <t>TOTAL TRANSPORTE</t>
  </si>
  <si>
    <t>TOTAL DIETAS Y ALOJAM.</t>
  </si>
  <si>
    <t>SUBTOTAL</t>
  </si>
  <si>
    <t>COSTE BOLO CÍA SIN IVA</t>
  </si>
  <si>
    <t>CACHET SIN DISTRIB. SIN IVA</t>
  </si>
  <si>
    <t>COSTE TOTAL SIN IVA</t>
  </si>
  <si>
    <t>IVA</t>
  </si>
  <si>
    <t>TOTAL IVA INCLUIDO</t>
  </si>
  <si>
    <t>CACHET APLICADO CON IVA</t>
  </si>
  <si>
    <t>OTROS (SIN IVA)</t>
  </si>
  <si>
    <t>TOTAL OTROS</t>
  </si>
  <si>
    <t>TRANSPORTE (SIN IVA)</t>
  </si>
  <si>
    <t>DIETAS, ALOJAMIENTO… (SIN IVA)</t>
  </si>
  <si>
    <t>% SIN IVA</t>
  </si>
  <si>
    <t>Observaciones</t>
  </si>
  <si>
    <t>Actores</t>
  </si>
  <si>
    <t>Seguridad Social asalariados</t>
  </si>
  <si>
    <t>Técnico/producción</t>
  </si>
  <si>
    <t>Gestoría, seguros…etc.</t>
  </si>
  <si>
    <t>Condiciones</t>
  </si>
  <si>
    <t>Actores y técnico asalariados</t>
  </si>
  <si>
    <t>Prensa fra.</t>
  </si>
  <si>
    <t>Peajes y parking</t>
  </si>
  <si>
    <t>Dietas completas</t>
  </si>
  <si>
    <t>Alojamientos</t>
  </si>
  <si>
    <t>Responsable prensa en gira</t>
  </si>
  <si>
    <t>Prensa/Comunicación (previa bolo)</t>
  </si>
  <si>
    <t>Gasolina (100km)</t>
  </si>
  <si>
    <t>Coste</t>
  </si>
  <si>
    <t>Ud.</t>
  </si>
  <si>
    <t>100km</t>
  </si>
  <si>
    <t>/día</t>
  </si>
  <si>
    <t>/función</t>
  </si>
  <si>
    <t>Nº DÍAS/ FUNC./ KMS</t>
  </si>
  <si>
    <t>Responsable prensa en gira (mitad viajes)</t>
  </si>
  <si>
    <t>BENEFICIO / AMORTIZACIÓN CON IVA</t>
  </si>
  <si>
    <t>BENEFICIO / AMORTIZACIÓN SIN IVA</t>
  </si>
  <si>
    <t>CACHET APLICADO SIN IVA</t>
  </si>
  <si>
    <t>CACHET 1 FUNCION (1 NOCHES TEC. / 1 NOCHE ACTORES)</t>
  </si>
  <si>
    <t>Actores, técnico y prensa 1/2 (día de función)</t>
  </si>
  <si>
    <t>Alquiler Coche 5 plazas.</t>
  </si>
  <si>
    <t xml:space="preserve">furgoneta </t>
  </si>
  <si>
    <t>Gasolina  (ida y vuelta)</t>
  </si>
  <si>
    <t>porcentaje distribución sobre cachet aplicado</t>
  </si>
  <si>
    <t>cachet en MADRID</t>
  </si>
  <si>
    <t>dietas técnicos</t>
  </si>
  <si>
    <t>Media dieta actores + producción</t>
  </si>
  <si>
    <t>porcentaje PRODUCCIÓN sobre cachet aplicado</t>
  </si>
  <si>
    <t>TÍTULO DE LA PRODUCCIÓN</t>
  </si>
  <si>
    <t>COMPAÑÍA / CREADORA</t>
  </si>
  <si>
    <t>Varios (cartelería, imprevistos, etc)</t>
  </si>
  <si>
    <t>Alquiler  furgoneta y transporte actores</t>
  </si>
  <si>
    <t>TÍTULO ESPECTÁCULO - artista/compañía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</si>
</sst>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[$€-2]\ * #,##0.00_-;\-[$€-2]\ * #,##0.00_-;_-[$€-2]\ * &quot;-&quot;??_-;_-@_-"/>
    <numFmt numFmtId="166" formatCode="_-* #,##0.00\ [$€-C0A]_-;\-* #,##0.00\ [$€-C0A]_-;_-* &quot;-&quot;??\ [$€-C0A]_-;_-@_-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i/>
      <sz val="11"/>
      <color theme="5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i/>
      <sz val="14"/>
      <name val="Calibri"/>
      <family val="2"/>
      <scheme val="minor"/>
    </font>
    <font>
      <b/>
      <sz val="14"/>
      <color theme="2" tint="-0.499984740745262"/>
      <name val="Calibri"/>
      <family val="2"/>
      <scheme val="minor"/>
    </font>
    <font>
      <b/>
      <sz val="12"/>
      <color theme="2" tint="-0.499984740745262"/>
      <name val="Calibri"/>
      <family val="2"/>
      <scheme val="minor"/>
    </font>
    <font>
      <b/>
      <i/>
      <u val="singleAccounting"/>
      <sz val="14"/>
      <color theme="2" tint="-0.499984740745262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Dashed">
        <color indexed="64"/>
      </bottom>
      <diagonal/>
    </border>
    <border>
      <left/>
      <right/>
      <top style="thin">
        <color indexed="64"/>
      </top>
      <bottom style="mediumDashed">
        <color indexed="64"/>
      </bottom>
      <diagonal/>
    </border>
    <border>
      <left/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164" fontId="1" fillId="0" borderId="0" applyFill="0" applyBorder="0" applyAlignment="0" applyProtection="0"/>
    <xf numFmtId="44" fontId="2" fillId="0" borderId="0" applyFont="0" applyFill="0" applyBorder="0" applyAlignment="0" applyProtection="0"/>
    <xf numFmtId="44" fontId="1" fillId="0" borderId="0" applyFill="0" applyBorder="0" applyAlignment="0" applyProtection="0"/>
    <xf numFmtId="0" fontId="1" fillId="0" borderId="0"/>
    <xf numFmtId="9" fontId="1" fillId="0" borderId="0" applyFill="0" applyBorder="0" applyAlignment="0" applyProtection="0"/>
    <xf numFmtId="9" fontId="2" fillId="0" borderId="0" applyFont="0" applyFill="0" applyBorder="0" applyAlignment="0" applyProtection="0"/>
  </cellStyleXfs>
  <cellXfs count="153">
    <xf numFmtId="0" fontId="0" fillId="0" borderId="0" xfId="0"/>
    <xf numFmtId="0" fontId="0" fillId="0" borderId="1" xfId="0" applyBorder="1"/>
    <xf numFmtId="0" fontId="0" fillId="0" borderId="2" xfId="0" applyBorder="1"/>
    <xf numFmtId="10" fontId="2" fillId="0" borderId="2" xfId="6" applyNumberFormat="1" applyFont="1" applyBorder="1"/>
    <xf numFmtId="0" fontId="0" fillId="0" borderId="0" xfId="0" applyBorder="1"/>
    <xf numFmtId="0" fontId="5" fillId="0" borderId="3" xfId="0" applyFont="1" applyBorder="1"/>
    <xf numFmtId="0" fontId="5" fillId="0" borderId="1" xfId="0" applyFont="1" applyBorder="1"/>
    <xf numFmtId="0" fontId="5" fillId="0" borderId="2" xfId="0" applyFont="1" applyBorder="1"/>
    <xf numFmtId="10" fontId="5" fillId="0" borderId="2" xfId="6" applyNumberFormat="1" applyFont="1" applyBorder="1"/>
    <xf numFmtId="0" fontId="5" fillId="0" borderId="4" xfId="0" applyFont="1" applyBorder="1"/>
    <xf numFmtId="0" fontId="5" fillId="0" borderId="0" xfId="0" applyFont="1" applyBorder="1"/>
    <xf numFmtId="0" fontId="5" fillId="0" borderId="0" xfId="0" applyFont="1"/>
    <xf numFmtId="0" fontId="5" fillId="0" borderId="5" xfId="0" applyFont="1" applyBorder="1"/>
    <xf numFmtId="0" fontId="5" fillId="0" borderId="6" xfId="0" applyFont="1" applyBorder="1"/>
    <xf numFmtId="10" fontId="5" fillId="0" borderId="6" xfId="6" applyNumberFormat="1" applyFont="1" applyBorder="1"/>
    <xf numFmtId="0" fontId="5" fillId="0" borderId="7" xfId="0" applyFont="1" applyBorder="1"/>
    <xf numFmtId="0" fontId="0" fillId="0" borderId="3" xfId="0" applyBorder="1"/>
    <xf numFmtId="10" fontId="2" fillId="0" borderId="0" xfId="6" applyNumberFormat="1" applyFont="1" applyBorder="1"/>
    <xf numFmtId="0" fontId="4" fillId="0" borderId="0" xfId="0" applyFont="1" applyBorder="1"/>
    <xf numFmtId="0" fontId="4" fillId="0" borderId="3" xfId="0" applyFont="1" applyBorder="1"/>
    <xf numFmtId="0" fontId="4" fillId="0" borderId="8" xfId="0" applyFont="1" applyBorder="1"/>
    <xf numFmtId="0" fontId="4" fillId="0" borderId="9" xfId="0" applyFont="1" applyBorder="1" applyAlignment="1">
      <alignment wrapText="1"/>
    </xf>
    <xf numFmtId="10" fontId="4" fillId="0" borderId="10" xfId="6" applyNumberFormat="1" applyFont="1" applyBorder="1" applyAlignment="1">
      <alignment horizontal="center" wrapText="1"/>
    </xf>
    <xf numFmtId="0" fontId="4" fillId="0" borderId="11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/>
    <xf numFmtId="0" fontId="0" fillId="0" borderId="12" xfId="0" applyBorder="1"/>
    <xf numFmtId="10" fontId="2" fillId="0" borderId="13" xfId="6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4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3" fillId="0" borderId="12" xfId="0" applyFont="1" applyBorder="1"/>
    <xf numFmtId="10" fontId="2" fillId="0" borderId="13" xfId="6" applyNumberFormat="1" applyFont="1" applyBorder="1"/>
    <xf numFmtId="0" fontId="0" fillId="0" borderId="14" xfId="0" applyBorder="1"/>
    <xf numFmtId="165" fontId="0" fillId="0" borderId="0" xfId="0" applyNumberFormat="1"/>
    <xf numFmtId="0" fontId="0" fillId="0" borderId="3" xfId="0" applyFill="1" applyBorder="1"/>
    <xf numFmtId="0" fontId="0" fillId="0" borderId="3" xfId="0" applyFill="1" applyBorder="1" applyAlignment="1">
      <alignment horizontal="right"/>
    </xf>
    <xf numFmtId="0" fontId="3" fillId="0" borderId="0" xfId="0" applyFont="1" applyBorder="1"/>
    <xf numFmtId="0" fontId="4" fillId="0" borderId="12" xfId="0" applyFont="1" applyBorder="1"/>
    <xf numFmtId="44" fontId="4" fillId="0" borderId="12" xfId="2" applyFont="1" applyBorder="1"/>
    <xf numFmtId="10" fontId="4" fillId="0" borderId="13" xfId="6" applyNumberFormat="1" applyFont="1" applyBorder="1"/>
    <xf numFmtId="44" fontId="4" fillId="0" borderId="15" xfId="2" applyFont="1" applyBorder="1"/>
    <xf numFmtId="0" fontId="4" fillId="0" borderId="14" xfId="0" applyFont="1" applyBorder="1"/>
    <xf numFmtId="0" fontId="4" fillId="0" borderId="16" xfId="0" applyFont="1" applyBorder="1"/>
    <xf numFmtId="0" fontId="4" fillId="0" borderId="17" xfId="0" applyFont="1" applyBorder="1"/>
    <xf numFmtId="44" fontId="4" fillId="0" borderId="17" xfId="2" applyFont="1" applyBorder="1"/>
    <xf numFmtId="10" fontId="4" fillId="0" borderId="17" xfId="6" applyNumberFormat="1" applyFont="1" applyBorder="1"/>
    <xf numFmtId="44" fontId="4" fillId="0" borderId="18" xfId="2" applyFont="1" applyBorder="1"/>
    <xf numFmtId="0" fontId="6" fillId="0" borderId="3" xfId="0" applyFont="1" applyBorder="1"/>
    <xf numFmtId="0" fontId="6" fillId="0" borderId="0" xfId="0" applyFont="1" applyBorder="1"/>
    <xf numFmtId="0" fontId="6" fillId="0" borderId="0" xfId="0" applyFont="1"/>
    <xf numFmtId="0" fontId="4" fillId="0" borderId="19" xfId="0" applyFont="1" applyBorder="1"/>
    <xf numFmtId="9" fontId="7" fillId="0" borderId="20" xfId="0" applyNumberFormat="1" applyFont="1" applyBorder="1"/>
    <xf numFmtId="44" fontId="4" fillId="0" borderId="20" xfId="2" applyFont="1" applyBorder="1"/>
    <xf numFmtId="10" fontId="2" fillId="0" borderId="20" xfId="6" applyNumberFormat="1" applyFont="1" applyBorder="1"/>
    <xf numFmtId="0" fontId="0" fillId="0" borderId="21" xfId="0" applyBorder="1"/>
    <xf numFmtId="44" fontId="2" fillId="0" borderId="14" xfId="2" applyFont="1" applyBorder="1"/>
    <xf numFmtId="9" fontId="7" fillId="0" borderId="0" xfId="0" applyNumberFormat="1" applyFont="1" applyBorder="1"/>
    <xf numFmtId="44" fontId="2" fillId="0" borderId="0" xfId="2" applyFont="1" applyBorder="1"/>
    <xf numFmtId="44" fontId="0" fillId="0" borderId="0" xfId="0" applyNumberFormat="1"/>
    <xf numFmtId="0" fontId="8" fillId="0" borderId="3" xfId="0" applyFont="1" applyBorder="1"/>
    <xf numFmtId="0" fontId="8" fillId="0" borderId="8" xfId="0" applyFont="1" applyBorder="1"/>
    <xf numFmtId="0" fontId="8" fillId="0" borderId="22" xfId="0" applyFont="1" applyBorder="1"/>
    <xf numFmtId="44" fontId="8" fillId="0" borderId="22" xfId="2" applyFont="1" applyBorder="1"/>
    <xf numFmtId="10" fontId="8" fillId="0" borderId="22" xfId="6" applyNumberFormat="1" applyFont="1" applyBorder="1"/>
    <xf numFmtId="44" fontId="9" fillId="0" borderId="11" xfId="2" applyFont="1" applyBorder="1"/>
    <xf numFmtId="0" fontId="8" fillId="0" borderId="0" xfId="0" applyFont="1" applyBorder="1"/>
    <xf numFmtId="0" fontId="8" fillId="0" borderId="0" xfId="0" applyFont="1"/>
    <xf numFmtId="44" fontId="2" fillId="0" borderId="23" xfId="2" applyFont="1" applyBorder="1"/>
    <xf numFmtId="0" fontId="5" fillId="0" borderId="8" xfId="0" applyFont="1" applyFill="1" applyBorder="1"/>
    <xf numFmtId="0" fontId="5" fillId="0" borderId="22" xfId="0" applyFont="1" applyBorder="1"/>
    <xf numFmtId="44" fontId="5" fillId="0" borderId="22" xfId="2" applyFont="1" applyBorder="1"/>
    <xf numFmtId="10" fontId="5" fillId="0" borderId="22" xfId="6" applyNumberFormat="1" applyFont="1" applyBorder="1"/>
    <xf numFmtId="44" fontId="8" fillId="0" borderId="11" xfId="2" applyFont="1" applyBorder="1"/>
    <xf numFmtId="166" fontId="5" fillId="0" borderId="0" xfId="0" applyNumberFormat="1" applyFont="1"/>
    <xf numFmtId="10" fontId="2" fillId="0" borderId="0" xfId="6" applyNumberFormat="1" applyFont="1"/>
    <xf numFmtId="10" fontId="0" fillId="0" borderId="0" xfId="0" applyNumberFormat="1" applyBorder="1"/>
    <xf numFmtId="9" fontId="4" fillId="0" borderId="0" xfId="6" applyFont="1" applyBorder="1"/>
    <xf numFmtId="44" fontId="2" fillId="0" borderId="0" xfId="2" applyFont="1"/>
    <xf numFmtId="44" fontId="2" fillId="0" borderId="2" xfId="2" applyFont="1" applyBorder="1"/>
    <xf numFmtId="44" fontId="5" fillId="0" borderId="2" xfId="2" applyFont="1" applyBorder="1"/>
    <xf numFmtId="44" fontId="5" fillId="0" borderId="6" xfId="2" applyFont="1" applyBorder="1"/>
    <xf numFmtId="44" fontId="4" fillId="0" borderId="0" xfId="2" applyFont="1" applyBorder="1"/>
    <xf numFmtId="44" fontId="2" fillId="0" borderId="13" xfId="2" applyFont="1" applyBorder="1" applyAlignment="1">
      <alignment horizontal="center"/>
    </xf>
    <xf numFmtId="44" fontId="2" fillId="0" borderId="13" xfId="2" applyFont="1" applyBorder="1"/>
    <xf numFmtId="44" fontId="2" fillId="0" borderId="20" xfId="2" applyFont="1" applyBorder="1"/>
    <xf numFmtId="44" fontId="4" fillId="0" borderId="9" xfId="2" applyFont="1" applyBorder="1" applyAlignment="1">
      <alignment horizontal="center" wrapText="1"/>
    </xf>
    <xf numFmtId="44" fontId="2" fillId="0" borderId="12" xfId="2" applyFont="1" applyBorder="1" applyAlignment="1">
      <alignment horizontal="center"/>
    </xf>
    <xf numFmtId="44" fontId="2" fillId="0" borderId="12" xfId="2" applyFont="1" applyBorder="1"/>
    <xf numFmtId="0" fontId="6" fillId="0" borderId="12" xfId="0" applyFont="1" applyBorder="1"/>
    <xf numFmtId="0" fontId="5" fillId="0" borderId="8" xfId="0" applyFont="1" applyBorder="1"/>
    <xf numFmtId="44" fontId="5" fillId="0" borderId="0" xfId="2" applyFont="1" applyBorder="1"/>
    <xf numFmtId="10" fontId="5" fillId="0" borderId="0" xfId="6" applyNumberFormat="1" applyFont="1" applyBorder="1"/>
    <xf numFmtId="0" fontId="5" fillId="0" borderId="0" xfId="0" applyFont="1" applyBorder="1" applyAlignment="1">
      <alignment horizontal="left" indent="1"/>
    </xf>
    <xf numFmtId="0" fontId="10" fillId="0" borderId="8" xfId="0" applyFont="1" applyFill="1" applyBorder="1"/>
    <xf numFmtId="9" fontId="11" fillId="0" borderId="24" xfId="0" applyNumberFormat="1" applyFont="1" applyBorder="1"/>
    <xf numFmtId="0" fontId="11" fillId="0" borderId="24" xfId="0" applyFont="1" applyBorder="1"/>
    <xf numFmtId="44" fontId="11" fillId="0" borderId="24" xfId="2" applyFont="1" applyBorder="1"/>
    <xf numFmtId="10" fontId="11" fillId="0" borderId="24" xfId="6" applyNumberFormat="1" applyFont="1" applyBorder="1"/>
    <xf numFmtId="44" fontId="11" fillId="0" borderId="23" xfId="2" applyFont="1" applyBorder="1"/>
    <xf numFmtId="0" fontId="4" fillId="0" borderId="22" xfId="0" applyFont="1" applyBorder="1" applyAlignment="1">
      <alignment horizontal="center" wrapText="1"/>
    </xf>
    <xf numFmtId="0" fontId="0" fillId="0" borderId="3" xfId="0" applyFill="1" applyBorder="1" applyAlignment="1">
      <alignment horizontal="left"/>
    </xf>
    <xf numFmtId="44" fontId="4" fillId="0" borderId="9" xfId="2" applyFont="1" applyBorder="1" applyAlignment="1">
      <alignment wrapText="1"/>
    </xf>
    <xf numFmtId="44" fontId="6" fillId="0" borderId="12" xfId="2" applyFont="1" applyBorder="1"/>
    <xf numFmtId="44" fontId="12" fillId="0" borderId="12" xfId="2" applyFont="1" applyBorder="1"/>
    <xf numFmtId="44" fontId="3" fillId="0" borderId="12" xfId="2" applyFont="1" applyBorder="1"/>
    <xf numFmtId="9" fontId="12" fillId="0" borderId="12" xfId="6" applyFont="1" applyBorder="1"/>
    <xf numFmtId="0" fontId="13" fillId="0" borderId="12" xfId="0" applyFont="1" applyBorder="1"/>
    <xf numFmtId="44" fontId="14" fillId="0" borderId="12" xfId="2" applyFont="1" applyBorder="1"/>
    <xf numFmtId="9" fontId="13" fillId="0" borderId="12" xfId="0" applyNumberFormat="1" applyFont="1" applyBorder="1"/>
    <xf numFmtId="2" fontId="2" fillId="0" borderId="2" xfId="2" applyNumberFormat="1" applyFont="1" applyBorder="1"/>
    <xf numFmtId="2" fontId="5" fillId="0" borderId="2" xfId="2" applyNumberFormat="1" applyFont="1" applyBorder="1"/>
    <xf numFmtId="2" fontId="5" fillId="0" borderId="0" xfId="2" applyNumberFormat="1" applyFont="1" applyBorder="1"/>
    <xf numFmtId="2" fontId="2" fillId="0" borderId="0" xfId="2" applyNumberFormat="1" applyFont="1" applyBorder="1"/>
    <xf numFmtId="2" fontId="4" fillId="0" borderId="0" xfId="2" applyNumberFormat="1" applyFont="1" applyBorder="1"/>
    <xf numFmtId="2" fontId="4" fillId="0" borderId="9" xfId="2" applyNumberFormat="1" applyFont="1" applyBorder="1" applyAlignment="1">
      <alignment wrapText="1"/>
    </xf>
    <xf numFmtId="2" fontId="2" fillId="0" borderId="12" xfId="2" applyNumberFormat="1" applyFont="1" applyBorder="1"/>
    <xf numFmtId="2" fontId="6" fillId="0" borderId="12" xfId="2" applyNumberFormat="1" applyFont="1" applyBorder="1"/>
    <xf numFmtId="2" fontId="13" fillId="0" borderId="12" xfId="2" applyNumberFormat="1" applyFont="1" applyBorder="1"/>
    <xf numFmtId="2" fontId="3" fillId="0" borderId="12" xfId="2" applyNumberFormat="1" applyFont="1" applyBorder="1"/>
    <xf numFmtId="2" fontId="4" fillId="0" borderId="12" xfId="2" applyNumberFormat="1" applyFont="1" applyBorder="1"/>
    <xf numFmtId="2" fontId="4" fillId="0" borderId="17" xfId="2" applyNumberFormat="1" applyFont="1" applyBorder="1"/>
    <xf numFmtId="2" fontId="11" fillId="0" borderId="24" xfId="2" applyNumberFormat="1" applyFont="1" applyBorder="1"/>
    <xf numFmtId="2" fontId="2" fillId="0" borderId="20" xfId="2" applyNumberFormat="1" applyFont="1" applyBorder="1"/>
    <xf numFmtId="2" fontId="8" fillId="0" borderId="22" xfId="2" applyNumberFormat="1" applyFont="1" applyBorder="1"/>
    <xf numFmtId="2" fontId="5" fillId="0" borderId="22" xfId="2" applyNumberFormat="1" applyFont="1" applyBorder="1"/>
    <xf numFmtId="2" fontId="2" fillId="0" borderId="0" xfId="2" applyNumberFormat="1" applyFont="1"/>
    <xf numFmtId="44" fontId="15" fillId="0" borderId="22" xfId="2" applyFont="1" applyBorder="1"/>
    <xf numFmtId="0" fontId="16" fillId="0" borderId="3" xfId="0" applyFont="1" applyBorder="1"/>
    <xf numFmtId="0" fontId="16" fillId="0" borderId="8" xfId="0" applyFont="1" applyFill="1" applyBorder="1"/>
    <xf numFmtId="0" fontId="16" fillId="0" borderId="22" xfId="0" applyFont="1" applyBorder="1"/>
    <xf numFmtId="2" fontId="16" fillId="0" borderId="22" xfId="2" applyNumberFormat="1" applyFont="1" applyBorder="1"/>
    <xf numFmtId="10" fontId="16" fillId="0" borderId="22" xfId="6" applyNumberFormat="1" applyFont="1" applyBorder="1"/>
    <xf numFmtId="44" fontId="16" fillId="0" borderId="22" xfId="2" applyFont="1" applyBorder="1"/>
    <xf numFmtId="44" fontId="17" fillId="0" borderId="11" xfId="2" applyFont="1" applyBorder="1"/>
    <xf numFmtId="0" fontId="16" fillId="0" borderId="0" xfId="0" applyFont="1" applyBorder="1"/>
    <xf numFmtId="0" fontId="16" fillId="0" borderId="0" xfId="0" applyFont="1"/>
    <xf numFmtId="166" fontId="16" fillId="0" borderId="0" xfId="0" applyNumberFormat="1" applyFont="1"/>
    <xf numFmtId="44" fontId="18" fillId="0" borderId="22" xfId="2" applyFont="1" applyBorder="1"/>
    <xf numFmtId="44" fontId="19" fillId="0" borderId="22" xfId="2" applyFont="1" applyBorder="1"/>
    <xf numFmtId="0" fontId="20" fillId="0" borderId="0" xfId="0" applyFont="1"/>
    <xf numFmtId="44" fontId="10" fillId="0" borderId="0" xfId="0" applyNumberFormat="1" applyFont="1"/>
    <xf numFmtId="0" fontId="21" fillId="0" borderId="5" xfId="0" applyFont="1" applyBorder="1"/>
    <xf numFmtId="0" fontId="21" fillId="0" borderId="6" xfId="0" applyFont="1" applyBorder="1"/>
    <xf numFmtId="2" fontId="21" fillId="0" borderId="6" xfId="2" applyNumberFormat="1" applyFont="1" applyBorder="1"/>
    <xf numFmtId="44" fontId="21" fillId="0" borderId="6" xfId="2" applyFont="1" applyBorder="1"/>
    <xf numFmtId="0" fontId="14" fillId="0" borderId="25" xfId="0" applyFont="1" applyBorder="1"/>
    <xf numFmtId="0" fontId="4" fillId="0" borderId="26" xfId="0" applyFont="1" applyBorder="1"/>
    <xf numFmtId="44" fontId="4" fillId="0" borderId="27" xfId="2" applyFont="1" applyBorder="1"/>
    <xf numFmtId="9" fontId="4" fillId="0" borderId="28" xfId="6" applyFont="1" applyBorder="1"/>
    <xf numFmtId="0" fontId="4" fillId="0" borderId="29" xfId="0" applyFont="1" applyBorder="1"/>
    <xf numFmtId="0" fontId="4" fillId="0" borderId="10" xfId="0" applyFont="1" applyBorder="1" applyAlignment="1">
      <alignment horizontal="center" wrapText="1"/>
    </xf>
    <xf numFmtId="0" fontId="4" fillId="0" borderId="22" xfId="0" applyFont="1" applyBorder="1" applyAlignment="1">
      <alignment horizontal="center" wrapText="1"/>
    </xf>
  </cellXfs>
  <cellStyles count="7">
    <cellStyle name="Millares 2" xfId="1" xr:uid="{00000000-0005-0000-0000-000000000000}"/>
    <cellStyle name="Moneda" xfId="2" builtinId="4"/>
    <cellStyle name="Moneda 2" xfId="3" xr:uid="{00000000-0005-0000-0000-000002000000}"/>
    <cellStyle name="Normal" xfId="0" builtinId="0"/>
    <cellStyle name="Normal 2" xfId="4" xr:uid="{00000000-0005-0000-0000-000004000000}"/>
    <cellStyle name="Porcentaje" xfId="6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I28"/>
  <sheetViews>
    <sheetView workbookViewId="0">
      <selection activeCell="C12" sqref="C12"/>
    </sheetView>
  </sheetViews>
  <sheetFormatPr baseColWidth="10" defaultRowHeight="14.5" x14ac:dyDescent="0.35"/>
  <cols>
    <col min="1" max="1" width="6.1796875" customWidth="1"/>
    <col min="2" max="2" width="50.1796875" customWidth="1"/>
    <col min="3" max="3" width="10" style="78" bestFit="1" customWidth="1"/>
    <col min="4" max="4" width="10" customWidth="1"/>
    <col min="5" max="5" width="31.1796875" customWidth="1"/>
    <col min="6" max="6" width="5.26953125" customWidth="1"/>
    <col min="8" max="8" width="15" bestFit="1" customWidth="1"/>
  </cols>
  <sheetData>
    <row r="1" spans="1:9" ht="15" thickBot="1" x14ac:dyDescent="0.4">
      <c r="A1" s="1"/>
      <c r="B1" s="2"/>
      <c r="C1" s="79"/>
      <c r="D1" s="2"/>
      <c r="E1" s="2"/>
      <c r="F1" s="4"/>
    </row>
    <row r="2" spans="1:9" s="11" customFormat="1" ht="18.5" x14ac:dyDescent="0.45">
      <c r="A2" s="5"/>
      <c r="B2" s="6" t="s">
        <v>53</v>
      </c>
      <c r="C2" s="80"/>
      <c r="D2" s="7"/>
      <c r="E2" s="9"/>
      <c r="F2" s="10"/>
    </row>
    <row r="3" spans="1:9" s="11" customFormat="1" ht="19" thickBot="1" x14ac:dyDescent="0.5">
      <c r="A3" s="5"/>
      <c r="B3" s="12" t="s">
        <v>54</v>
      </c>
      <c r="C3" s="81"/>
      <c r="D3" s="13"/>
      <c r="E3" s="15"/>
      <c r="F3" s="10"/>
    </row>
    <row r="4" spans="1:9" x14ac:dyDescent="0.35">
      <c r="A4" s="16"/>
      <c r="B4" s="4"/>
      <c r="C4" s="58"/>
      <c r="D4" s="4"/>
      <c r="E4" s="4"/>
      <c r="F4" s="4"/>
    </row>
    <row r="5" spans="1:9" ht="15" thickBot="1" x14ac:dyDescent="0.4">
      <c r="A5" s="16"/>
      <c r="B5" s="18"/>
      <c r="C5" s="82"/>
      <c r="D5" s="18"/>
      <c r="E5" s="18"/>
      <c r="F5" s="18"/>
    </row>
    <row r="6" spans="1:9" s="25" customFormat="1" ht="15" thickBot="1" x14ac:dyDescent="0.4">
      <c r="A6" s="19"/>
      <c r="B6" s="20" t="s">
        <v>0</v>
      </c>
      <c r="C6" s="102" t="s">
        <v>33</v>
      </c>
      <c r="D6" s="100" t="s">
        <v>34</v>
      </c>
      <c r="E6" s="23" t="s">
        <v>19</v>
      </c>
      <c r="F6" s="24"/>
    </row>
    <row r="7" spans="1:9" x14ac:dyDescent="0.35">
      <c r="A7" s="16"/>
      <c r="B7" s="16"/>
      <c r="C7" s="88"/>
      <c r="D7" s="28"/>
      <c r="E7" s="29"/>
      <c r="F7" s="28"/>
    </row>
    <row r="8" spans="1:9" x14ac:dyDescent="0.35">
      <c r="A8" s="16"/>
      <c r="B8" s="30" t="s">
        <v>3</v>
      </c>
      <c r="C8" s="103"/>
      <c r="D8" s="28"/>
      <c r="E8" s="29"/>
      <c r="F8" s="28"/>
    </row>
    <row r="9" spans="1:9" x14ac:dyDescent="0.35">
      <c r="A9" s="16"/>
      <c r="B9" s="16" t="s">
        <v>20</v>
      </c>
      <c r="C9" s="104"/>
      <c r="D9" s="4" t="s">
        <v>37</v>
      </c>
      <c r="E9" s="33"/>
      <c r="F9" s="4"/>
      <c r="I9" s="34"/>
    </row>
    <row r="10" spans="1:9" x14ac:dyDescent="0.35">
      <c r="A10" s="16"/>
      <c r="B10" s="16" t="s">
        <v>22</v>
      </c>
      <c r="C10" s="104"/>
      <c r="D10" s="4" t="s">
        <v>37</v>
      </c>
      <c r="E10" s="33"/>
      <c r="F10" s="4"/>
      <c r="G10" s="78"/>
    </row>
    <row r="11" spans="1:9" x14ac:dyDescent="0.35">
      <c r="A11" s="16"/>
      <c r="B11" s="101" t="s">
        <v>21</v>
      </c>
      <c r="C11" s="106">
        <v>0.3649</v>
      </c>
      <c r="D11" s="4"/>
      <c r="E11" s="33"/>
      <c r="F11" s="4"/>
    </row>
    <row r="12" spans="1:9" x14ac:dyDescent="0.35">
      <c r="A12" s="16"/>
      <c r="B12" s="36"/>
      <c r="C12" s="104"/>
      <c r="D12" s="4"/>
      <c r="E12" s="33"/>
      <c r="F12" s="4"/>
    </row>
    <row r="13" spans="1:9" x14ac:dyDescent="0.35">
      <c r="A13" s="16"/>
      <c r="B13" s="30" t="s">
        <v>16</v>
      </c>
      <c r="C13" s="104"/>
      <c r="D13" s="4"/>
      <c r="E13" s="33"/>
      <c r="F13" s="4"/>
    </row>
    <row r="14" spans="1:9" x14ac:dyDescent="0.35">
      <c r="A14" s="16"/>
      <c r="B14" s="16" t="s">
        <v>45</v>
      </c>
      <c r="C14" s="104"/>
      <c r="D14" s="4" t="s">
        <v>36</v>
      </c>
      <c r="E14" s="33"/>
      <c r="F14" s="4"/>
    </row>
    <row r="15" spans="1:9" x14ac:dyDescent="0.35">
      <c r="A15" s="16"/>
      <c r="B15" s="16" t="s">
        <v>32</v>
      </c>
      <c r="C15" s="104"/>
      <c r="D15" s="4" t="s">
        <v>35</v>
      </c>
      <c r="E15" s="33"/>
      <c r="F15" s="4"/>
    </row>
    <row r="16" spans="1:9" x14ac:dyDescent="0.35">
      <c r="A16" s="16"/>
      <c r="B16" s="16" t="s">
        <v>27</v>
      </c>
      <c r="C16" s="104"/>
      <c r="D16" s="4"/>
      <c r="E16" s="33"/>
      <c r="F16" s="4"/>
    </row>
    <row r="17" spans="1:6" x14ac:dyDescent="0.35">
      <c r="A17" s="16"/>
      <c r="B17" s="101" t="s">
        <v>46</v>
      </c>
      <c r="C17" s="104"/>
      <c r="D17" s="4" t="s">
        <v>36</v>
      </c>
      <c r="E17" s="33"/>
      <c r="F17" s="4"/>
    </row>
    <row r="18" spans="1:6" x14ac:dyDescent="0.35">
      <c r="A18" s="16"/>
      <c r="B18" s="30" t="s">
        <v>17</v>
      </c>
      <c r="C18" s="104"/>
      <c r="D18" s="4"/>
      <c r="E18" s="33"/>
      <c r="F18" s="4"/>
    </row>
    <row r="19" spans="1:6" x14ac:dyDescent="0.35">
      <c r="A19" s="16"/>
      <c r="B19" s="16" t="s">
        <v>28</v>
      </c>
      <c r="C19" s="104"/>
      <c r="D19" s="4" t="s">
        <v>36</v>
      </c>
      <c r="E19" s="33"/>
      <c r="F19" s="4"/>
    </row>
    <row r="20" spans="1:6" x14ac:dyDescent="0.35">
      <c r="A20" s="16"/>
      <c r="B20" s="16" t="s">
        <v>29</v>
      </c>
      <c r="C20" s="104"/>
      <c r="D20" s="4" t="s">
        <v>36</v>
      </c>
      <c r="E20" s="33"/>
      <c r="F20" s="4"/>
    </row>
    <row r="21" spans="1:6" x14ac:dyDescent="0.35">
      <c r="A21" s="16"/>
      <c r="B21" s="35" t="s">
        <v>55</v>
      </c>
      <c r="C21" s="104"/>
      <c r="D21" s="4"/>
      <c r="E21" s="33"/>
      <c r="F21" s="4"/>
    </row>
    <row r="22" spans="1:6" x14ac:dyDescent="0.35">
      <c r="A22" s="16"/>
      <c r="B22" s="16"/>
      <c r="C22" s="104"/>
      <c r="D22" s="4"/>
      <c r="E22" s="33"/>
      <c r="F22" s="4"/>
    </row>
    <row r="23" spans="1:6" x14ac:dyDescent="0.35">
      <c r="A23" s="16"/>
      <c r="B23" s="30" t="s">
        <v>14</v>
      </c>
      <c r="C23" s="104"/>
      <c r="D23" s="4"/>
      <c r="E23" s="33"/>
      <c r="F23" s="4"/>
    </row>
    <row r="24" spans="1:6" x14ac:dyDescent="0.35">
      <c r="A24" s="16"/>
      <c r="B24" s="35" t="s">
        <v>30</v>
      </c>
      <c r="C24" s="104"/>
      <c r="D24" s="4" t="s">
        <v>37</v>
      </c>
      <c r="E24" s="33"/>
      <c r="F24" s="4"/>
    </row>
    <row r="25" spans="1:6" x14ac:dyDescent="0.35">
      <c r="A25" s="16"/>
      <c r="B25" s="35" t="s">
        <v>31</v>
      </c>
      <c r="C25" s="104"/>
      <c r="D25" s="4" t="s">
        <v>37</v>
      </c>
      <c r="E25" s="33"/>
      <c r="F25" s="4"/>
    </row>
    <row r="26" spans="1:6" x14ac:dyDescent="0.35">
      <c r="A26" s="16"/>
      <c r="B26" s="16" t="s">
        <v>23</v>
      </c>
      <c r="C26" s="104"/>
      <c r="D26" s="4" t="s">
        <v>37</v>
      </c>
      <c r="E26" s="33"/>
      <c r="F26" s="4"/>
    </row>
    <row r="27" spans="1:6" x14ac:dyDescent="0.35">
      <c r="A27" s="16"/>
      <c r="B27" s="36"/>
      <c r="C27" s="105"/>
      <c r="D27" s="4"/>
      <c r="E27" s="33"/>
      <c r="F27" s="4"/>
    </row>
    <row r="28" spans="1:6" s="25" customFormat="1" ht="15" thickBot="1" x14ac:dyDescent="0.4">
      <c r="A28" s="19"/>
      <c r="B28" s="147" t="s">
        <v>7</v>
      </c>
      <c r="C28" s="148"/>
      <c r="D28" s="149"/>
      <c r="E28" s="150"/>
      <c r="F28" s="18"/>
    </row>
  </sheetData>
  <pageMargins left="0.7" right="0.7" top="0.75" bottom="0.75" header="0.3" footer="0.3"/>
  <pageSetup paperSize="7" scale="6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N51"/>
  <sheetViews>
    <sheetView tabSelected="1" workbookViewId="0">
      <selection activeCell="J6" sqref="J6"/>
    </sheetView>
  </sheetViews>
  <sheetFormatPr baseColWidth="10" defaultRowHeight="14.5" x14ac:dyDescent="0.35"/>
  <cols>
    <col min="1" max="1" width="5.54296875" customWidth="1"/>
    <col min="2" max="2" width="50.1796875" customWidth="1"/>
    <col min="3" max="3" width="8.1796875" bestFit="1" customWidth="1"/>
    <col min="4" max="4" width="6.1796875" customWidth="1"/>
    <col min="5" max="5" width="9.7265625" style="126" bestFit="1" customWidth="1"/>
    <col min="6" max="6" width="15.81640625" style="78" bestFit="1" customWidth="1"/>
    <col min="7" max="7" width="17.1796875" style="75" customWidth="1"/>
    <col min="8" max="8" width="11" style="78" bestFit="1" customWidth="1"/>
    <col min="9" max="9" width="7.1796875" bestFit="1" customWidth="1"/>
    <col min="10" max="10" width="13.81640625" bestFit="1" customWidth="1"/>
    <col min="11" max="11" width="5.26953125" customWidth="1"/>
    <col min="12" max="12" width="22.81640625" customWidth="1"/>
    <col min="13" max="13" width="3.26953125" customWidth="1"/>
    <col min="14" max="14" width="12" customWidth="1"/>
  </cols>
  <sheetData>
    <row r="1" spans="1:14" ht="15" thickBot="1" x14ac:dyDescent="0.4">
      <c r="A1" s="1"/>
      <c r="B1" s="2"/>
      <c r="C1" s="2"/>
      <c r="D1" s="2"/>
      <c r="E1" s="110"/>
      <c r="F1" s="79"/>
      <c r="G1" s="3"/>
      <c r="H1" s="79"/>
      <c r="I1" s="2"/>
      <c r="J1" s="2"/>
      <c r="K1" s="4"/>
    </row>
    <row r="2" spans="1:14" s="11" customFormat="1" ht="18.5" x14ac:dyDescent="0.45">
      <c r="A2" s="5"/>
      <c r="B2" s="6" t="s">
        <v>57</v>
      </c>
      <c r="C2" s="7"/>
      <c r="D2" s="7"/>
      <c r="E2" s="111"/>
      <c r="F2" s="80"/>
      <c r="G2" s="8"/>
      <c r="H2" s="80"/>
      <c r="I2" s="7"/>
      <c r="J2" s="9"/>
      <c r="K2" s="10"/>
    </row>
    <row r="3" spans="1:14" s="11" customFormat="1" ht="19" thickBot="1" x14ac:dyDescent="0.5">
      <c r="A3" s="5"/>
      <c r="B3" s="142" t="s">
        <v>43</v>
      </c>
      <c r="C3" s="143"/>
      <c r="D3" s="143"/>
      <c r="E3" s="144"/>
      <c r="F3" s="145" t="s">
        <v>49</v>
      </c>
      <c r="G3" s="14"/>
      <c r="H3" s="81"/>
      <c r="I3" s="13"/>
      <c r="J3" s="15"/>
      <c r="K3" s="10"/>
    </row>
    <row r="4" spans="1:14" s="11" customFormat="1" ht="18.5" x14ac:dyDescent="0.45">
      <c r="A4" s="5"/>
      <c r="B4" s="10" t="s">
        <v>24</v>
      </c>
      <c r="C4" s="10"/>
      <c r="D4" s="10"/>
      <c r="E4" s="112"/>
      <c r="F4" s="91"/>
      <c r="G4" s="92"/>
      <c r="H4" s="91"/>
      <c r="I4" s="10"/>
      <c r="J4" s="10"/>
      <c r="K4" s="10"/>
    </row>
    <row r="5" spans="1:14" s="11" customFormat="1" ht="18.5" x14ac:dyDescent="0.45">
      <c r="A5" s="5"/>
      <c r="B5" s="93" t="s">
        <v>44</v>
      </c>
      <c r="C5" s="10"/>
      <c r="D5" s="10"/>
      <c r="E5" s="112"/>
      <c r="F5" s="91"/>
      <c r="G5" s="92"/>
      <c r="H5" s="91"/>
      <c r="I5" s="10"/>
      <c r="J5" s="10"/>
      <c r="K5" s="10"/>
    </row>
    <row r="6" spans="1:14" s="11" customFormat="1" ht="18.5" x14ac:dyDescent="0.45">
      <c r="A6" s="5"/>
      <c r="B6" s="93" t="s">
        <v>25</v>
      </c>
      <c r="C6" s="10"/>
      <c r="D6" s="10"/>
      <c r="E6" s="112"/>
      <c r="F6" s="91"/>
      <c r="G6" s="92"/>
      <c r="H6" s="91"/>
      <c r="I6" s="10"/>
      <c r="J6" s="10"/>
      <c r="K6" s="10"/>
    </row>
    <row r="7" spans="1:14" s="11" customFormat="1" ht="18.5" x14ac:dyDescent="0.45">
      <c r="A7" s="5"/>
      <c r="B7" s="93" t="s">
        <v>26</v>
      </c>
      <c r="C7" s="10"/>
      <c r="D7" s="10"/>
      <c r="E7" s="112"/>
      <c r="F7" s="91"/>
      <c r="G7" s="92"/>
      <c r="H7" s="91"/>
      <c r="I7" s="10"/>
      <c r="J7" s="10"/>
      <c r="K7" s="10"/>
    </row>
    <row r="8" spans="1:14" s="11" customFormat="1" ht="18.5" x14ac:dyDescent="0.45">
      <c r="A8" s="5"/>
      <c r="B8" s="10"/>
      <c r="C8" s="10"/>
      <c r="D8" s="10"/>
      <c r="E8" s="112"/>
      <c r="F8" s="91"/>
      <c r="G8" s="92"/>
      <c r="H8" s="91"/>
      <c r="I8" s="10"/>
      <c r="J8" s="10"/>
      <c r="K8" s="10"/>
    </row>
    <row r="9" spans="1:14" x14ac:dyDescent="0.35">
      <c r="A9" s="16"/>
      <c r="B9" s="4"/>
      <c r="C9" s="4"/>
      <c r="D9" s="4"/>
      <c r="E9" s="113"/>
      <c r="F9" s="58"/>
      <c r="G9" s="17"/>
      <c r="H9" s="58"/>
      <c r="I9" s="4"/>
      <c r="J9" s="4"/>
      <c r="K9" s="4"/>
    </row>
    <row r="10" spans="1:14" ht="15" thickBot="1" x14ac:dyDescent="0.4">
      <c r="A10" s="16"/>
      <c r="B10" s="18"/>
      <c r="C10" s="18"/>
      <c r="D10" s="18"/>
      <c r="E10" s="114"/>
      <c r="F10" s="58"/>
      <c r="G10" s="17"/>
      <c r="H10" s="82"/>
      <c r="I10" s="18"/>
      <c r="J10" s="18"/>
      <c r="K10" s="18"/>
    </row>
    <row r="11" spans="1:14" s="25" customFormat="1" ht="44" thickBot="1" x14ac:dyDescent="0.4">
      <c r="A11" s="19"/>
      <c r="B11" s="20" t="s">
        <v>0</v>
      </c>
      <c r="C11" s="21" t="s">
        <v>38</v>
      </c>
      <c r="D11" s="21" t="s">
        <v>1</v>
      </c>
      <c r="E11" s="115" t="s">
        <v>2</v>
      </c>
      <c r="F11" s="86"/>
      <c r="G11" s="22" t="s">
        <v>18</v>
      </c>
      <c r="H11" s="151"/>
      <c r="I11" s="152"/>
      <c r="J11" s="23"/>
      <c r="K11" s="24"/>
    </row>
    <row r="12" spans="1:14" x14ac:dyDescent="0.35">
      <c r="A12" s="16"/>
      <c r="B12" s="16"/>
      <c r="C12" s="26"/>
      <c r="D12" s="26"/>
      <c r="E12" s="116"/>
      <c r="F12" s="87"/>
      <c r="G12" s="27"/>
      <c r="H12" s="83"/>
      <c r="I12" s="28"/>
      <c r="J12" s="29"/>
      <c r="K12" s="28"/>
    </row>
    <row r="13" spans="1:14" x14ac:dyDescent="0.35">
      <c r="A13" s="16"/>
      <c r="B13" s="30" t="s">
        <v>3</v>
      </c>
      <c r="C13" s="89"/>
      <c r="D13" s="89"/>
      <c r="E13" s="117"/>
      <c r="F13" s="87"/>
      <c r="G13" s="27"/>
      <c r="H13" s="83"/>
      <c r="I13" s="28"/>
      <c r="J13" s="29"/>
      <c r="K13" s="28"/>
    </row>
    <row r="14" spans="1:14" x14ac:dyDescent="0.35">
      <c r="A14" s="16"/>
      <c r="B14" s="16" t="s">
        <v>20</v>
      </c>
      <c r="C14" s="107"/>
      <c r="D14" s="107">
        <v>1</v>
      </c>
      <c r="E14" s="118">
        <v>300</v>
      </c>
      <c r="F14" s="108">
        <f>C14*D14*E14</f>
        <v>0</v>
      </c>
      <c r="G14" s="32" t="e">
        <f>F14/$F$43</f>
        <v>#DIV/0!</v>
      </c>
      <c r="H14" s="84"/>
      <c r="I14" s="4"/>
      <c r="J14" s="33"/>
      <c r="K14" s="4"/>
      <c r="N14" s="34"/>
    </row>
    <row r="15" spans="1:14" x14ac:dyDescent="0.35">
      <c r="A15" s="16"/>
      <c r="B15" s="16" t="s">
        <v>22</v>
      </c>
      <c r="C15" s="107"/>
      <c r="D15" s="107"/>
      <c r="E15" s="118"/>
      <c r="F15" s="108">
        <f>C15*D15*E15</f>
        <v>0</v>
      </c>
      <c r="G15" s="32" t="e">
        <f>F15/$F$43</f>
        <v>#DIV/0!</v>
      </c>
      <c r="H15" s="84"/>
      <c r="I15" s="4"/>
      <c r="J15" s="33"/>
      <c r="K15" s="4"/>
      <c r="L15" s="78"/>
    </row>
    <row r="16" spans="1:14" x14ac:dyDescent="0.35">
      <c r="A16" s="16"/>
      <c r="B16" s="36" t="s">
        <v>21</v>
      </c>
      <c r="C16" s="107"/>
      <c r="D16" s="109">
        <f>'CACHÉ Conceptos'!C11</f>
        <v>0.3649</v>
      </c>
      <c r="E16" s="118">
        <f>SUM(F14)</f>
        <v>0</v>
      </c>
      <c r="F16" s="108">
        <f>C16*D16*E16</f>
        <v>0</v>
      </c>
      <c r="G16" s="32" t="e">
        <f>F16/$F$43</f>
        <v>#DIV/0!</v>
      </c>
      <c r="H16" s="84"/>
      <c r="I16" s="4"/>
      <c r="J16" s="33"/>
      <c r="K16" s="4"/>
    </row>
    <row r="17" spans="1:11" x14ac:dyDescent="0.35">
      <c r="A17" s="16"/>
      <c r="B17" s="36" t="s">
        <v>4</v>
      </c>
      <c r="C17" s="107"/>
      <c r="D17" s="107"/>
      <c r="E17" s="118"/>
      <c r="F17" s="108"/>
      <c r="G17" s="32"/>
      <c r="H17" s="84">
        <f>SUM(F14:F16)</f>
        <v>0</v>
      </c>
      <c r="I17" s="76" t="e">
        <f>SUM(G14:G16)</f>
        <v>#DIV/0!</v>
      </c>
      <c r="J17" s="33"/>
      <c r="K17" s="4"/>
    </row>
    <row r="18" spans="1:11" x14ac:dyDescent="0.35">
      <c r="A18" s="16"/>
      <c r="B18" s="36"/>
      <c r="C18" s="107"/>
      <c r="D18" s="107"/>
      <c r="E18" s="118"/>
      <c r="F18" s="108"/>
      <c r="G18" s="32"/>
      <c r="H18" s="84"/>
      <c r="I18" s="4"/>
      <c r="J18" s="33"/>
      <c r="K18" s="4"/>
    </row>
    <row r="19" spans="1:11" x14ac:dyDescent="0.35">
      <c r="A19" s="16"/>
      <c r="B19" s="30" t="s">
        <v>16</v>
      </c>
      <c r="C19" s="107"/>
      <c r="D19" s="107"/>
      <c r="E19" s="118"/>
      <c r="F19" s="108"/>
      <c r="G19" s="32"/>
      <c r="H19" s="84"/>
      <c r="I19" s="4"/>
      <c r="J19" s="33"/>
      <c r="K19" s="4"/>
    </row>
    <row r="20" spans="1:11" x14ac:dyDescent="0.35">
      <c r="A20" s="16"/>
      <c r="B20" s="16" t="s">
        <v>56</v>
      </c>
      <c r="C20" s="107"/>
      <c r="D20" s="107"/>
      <c r="E20" s="118"/>
      <c r="F20" s="108">
        <v>0</v>
      </c>
      <c r="G20" s="32" t="e">
        <f>F20/$F$43</f>
        <v>#DIV/0!</v>
      </c>
      <c r="H20" s="84"/>
      <c r="I20" s="37"/>
      <c r="J20" s="33"/>
      <c r="K20" s="4"/>
    </row>
    <row r="21" spans="1:11" x14ac:dyDescent="0.35">
      <c r="A21" s="16"/>
      <c r="B21" s="16" t="s">
        <v>47</v>
      </c>
      <c r="C21" s="107"/>
      <c r="D21" s="107"/>
      <c r="E21" s="118"/>
      <c r="F21" s="108">
        <v>0</v>
      </c>
      <c r="G21" s="32" t="e">
        <f>F21/$F$43</f>
        <v>#DIV/0!</v>
      </c>
      <c r="H21" s="84"/>
      <c r="I21" s="4"/>
      <c r="J21" s="33"/>
      <c r="K21" s="4"/>
    </row>
    <row r="22" spans="1:11" x14ac:dyDescent="0.35">
      <c r="A22" s="16"/>
      <c r="B22" s="16" t="s">
        <v>27</v>
      </c>
      <c r="C22" s="107"/>
      <c r="D22" s="107"/>
      <c r="E22" s="118">
        <v>0</v>
      </c>
      <c r="F22" s="108">
        <v>0</v>
      </c>
      <c r="G22" s="32" t="e">
        <f>F22/$F$43</f>
        <v>#DIV/0!</v>
      </c>
      <c r="H22" s="84"/>
      <c r="I22" s="4"/>
      <c r="J22" s="33"/>
      <c r="K22" s="4"/>
    </row>
    <row r="23" spans="1:11" x14ac:dyDescent="0.35">
      <c r="A23" s="16"/>
      <c r="B23" s="36" t="s">
        <v>5</v>
      </c>
      <c r="C23" s="107"/>
      <c r="D23" s="107"/>
      <c r="E23" s="118"/>
      <c r="F23" s="108"/>
      <c r="G23" s="32"/>
      <c r="H23" s="84">
        <f>SUM(F20:F22)</f>
        <v>0</v>
      </c>
      <c r="I23" s="76" t="e">
        <f>SUM(G20:G22)</f>
        <v>#DIV/0!</v>
      </c>
      <c r="J23" s="33"/>
      <c r="K23" s="4"/>
    </row>
    <row r="24" spans="1:11" x14ac:dyDescent="0.35">
      <c r="A24" s="16"/>
      <c r="B24" s="36"/>
      <c r="C24" s="107"/>
      <c r="D24" s="107"/>
      <c r="E24" s="118"/>
      <c r="F24" s="108"/>
      <c r="G24" s="32"/>
      <c r="H24" s="84"/>
      <c r="I24" s="4"/>
      <c r="J24" s="33"/>
      <c r="K24" s="4"/>
    </row>
    <row r="25" spans="1:11" x14ac:dyDescent="0.35">
      <c r="A25" s="16"/>
      <c r="B25" s="30" t="s">
        <v>17</v>
      </c>
      <c r="C25" s="107"/>
      <c r="D25" s="107"/>
      <c r="E25" s="118"/>
      <c r="F25" s="108"/>
      <c r="G25" s="32"/>
      <c r="H25" s="84"/>
      <c r="I25" s="4"/>
      <c r="J25" s="33"/>
      <c r="K25" s="4"/>
    </row>
    <row r="26" spans="1:11" x14ac:dyDescent="0.35">
      <c r="A26" s="16"/>
      <c r="B26" s="16" t="s">
        <v>51</v>
      </c>
      <c r="C26" s="107"/>
      <c r="D26" s="107"/>
      <c r="E26" s="118"/>
      <c r="F26" s="108">
        <v>0</v>
      </c>
      <c r="G26" s="32" t="e">
        <f>F26/$F$43</f>
        <v>#DIV/0!</v>
      </c>
      <c r="H26" s="84"/>
      <c r="I26" s="4"/>
      <c r="J26" s="33"/>
      <c r="K26" s="4"/>
    </row>
    <row r="27" spans="1:11" x14ac:dyDescent="0.35">
      <c r="A27" s="16"/>
      <c r="B27" s="16" t="s">
        <v>29</v>
      </c>
      <c r="C27" s="107"/>
      <c r="D27" s="107"/>
      <c r="E27" s="118">
        <f>'CACHÉ Conceptos'!C20</f>
        <v>0</v>
      </c>
      <c r="F27" s="108">
        <v>0</v>
      </c>
      <c r="G27" s="32" t="e">
        <f>F27/$F$43</f>
        <v>#DIV/0!</v>
      </c>
      <c r="H27" s="84"/>
      <c r="I27" s="4"/>
      <c r="J27" s="33"/>
      <c r="K27" s="4"/>
    </row>
    <row r="28" spans="1:11" x14ac:dyDescent="0.35">
      <c r="A28" s="16"/>
      <c r="B28" s="35" t="s">
        <v>50</v>
      </c>
      <c r="C28" s="107"/>
      <c r="D28" s="107"/>
      <c r="E28" s="118"/>
      <c r="F28" s="108">
        <v>0</v>
      </c>
      <c r="G28" s="32" t="e">
        <f>F28/$F$43</f>
        <v>#DIV/0!</v>
      </c>
      <c r="H28" s="84"/>
      <c r="I28" s="4"/>
      <c r="J28" s="33"/>
      <c r="K28" s="4"/>
    </row>
    <row r="29" spans="1:11" x14ac:dyDescent="0.35">
      <c r="A29" s="16"/>
      <c r="B29" s="36" t="s">
        <v>6</v>
      </c>
      <c r="C29" s="107"/>
      <c r="D29" s="107"/>
      <c r="E29" s="118"/>
      <c r="F29" s="108"/>
      <c r="G29" s="32"/>
      <c r="H29" s="84">
        <f>SUM(F26:F28)</f>
        <v>0</v>
      </c>
      <c r="I29" s="76" t="e">
        <f>SUM(G26:G28)</f>
        <v>#DIV/0!</v>
      </c>
      <c r="J29" s="33"/>
      <c r="K29" s="4"/>
    </row>
    <row r="30" spans="1:11" x14ac:dyDescent="0.35">
      <c r="A30" s="16"/>
      <c r="B30" s="16"/>
      <c r="C30" s="107"/>
      <c r="D30" s="107"/>
      <c r="E30" s="118"/>
      <c r="F30" s="108"/>
      <c r="G30" s="32"/>
      <c r="H30" s="84"/>
      <c r="I30" s="4"/>
      <c r="J30" s="33"/>
      <c r="K30" s="4"/>
    </row>
    <row r="31" spans="1:11" x14ac:dyDescent="0.35">
      <c r="A31" s="16"/>
      <c r="B31" s="30" t="s">
        <v>14</v>
      </c>
      <c r="C31" s="107"/>
      <c r="D31" s="107"/>
      <c r="E31" s="118"/>
      <c r="F31" s="108"/>
      <c r="G31" s="32"/>
      <c r="H31" s="84"/>
      <c r="I31" s="4"/>
      <c r="J31" s="33"/>
      <c r="K31" s="4"/>
    </row>
    <row r="32" spans="1:11" x14ac:dyDescent="0.35">
      <c r="A32" s="16"/>
      <c r="B32" s="35" t="s">
        <v>39</v>
      </c>
      <c r="C32" s="107">
        <v>0</v>
      </c>
      <c r="D32" s="107">
        <v>1</v>
      </c>
      <c r="E32" s="118">
        <v>0</v>
      </c>
      <c r="F32" s="108">
        <v>0</v>
      </c>
      <c r="G32" s="32" t="e">
        <f>F32/$F$43</f>
        <v>#DIV/0!</v>
      </c>
      <c r="H32" s="84"/>
      <c r="I32" s="4"/>
      <c r="J32" s="33"/>
      <c r="K32" s="4"/>
    </row>
    <row r="33" spans="1:13" x14ac:dyDescent="0.35">
      <c r="A33" s="16"/>
      <c r="B33" s="35" t="s">
        <v>31</v>
      </c>
      <c r="C33" s="107">
        <v>1</v>
      </c>
      <c r="D33" s="107">
        <v>1</v>
      </c>
      <c r="E33" s="118">
        <f>'CACHÉ Conceptos'!C25</f>
        <v>0</v>
      </c>
      <c r="F33" s="108">
        <f>C33*D33*E33</f>
        <v>0</v>
      </c>
      <c r="G33" s="32" t="e">
        <f>F33/$F$43</f>
        <v>#DIV/0!</v>
      </c>
      <c r="H33" s="84"/>
      <c r="I33" s="4"/>
      <c r="J33" s="33"/>
      <c r="K33" s="4"/>
    </row>
    <row r="34" spans="1:13" x14ac:dyDescent="0.35">
      <c r="A34" s="16"/>
      <c r="B34" s="16" t="s">
        <v>23</v>
      </c>
      <c r="C34" s="107"/>
      <c r="D34" s="107"/>
      <c r="E34" s="118"/>
      <c r="F34" s="108"/>
      <c r="G34" s="32" t="e">
        <f>F34/$F$43</f>
        <v>#DIV/0!</v>
      </c>
      <c r="H34" s="84"/>
      <c r="I34" s="4"/>
      <c r="J34" s="33"/>
      <c r="K34" s="4"/>
    </row>
    <row r="35" spans="1:13" x14ac:dyDescent="0.35">
      <c r="A35" s="16"/>
      <c r="B35" s="36" t="s">
        <v>15</v>
      </c>
      <c r="C35" s="31"/>
      <c r="D35" s="31"/>
      <c r="E35" s="119"/>
      <c r="F35" s="88"/>
      <c r="G35" s="32"/>
      <c r="H35" s="84">
        <f>SUM(F32:F34)</f>
        <v>0</v>
      </c>
      <c r="I35" s="76" t="e">
        <f>SUM(G32:G34)</f>
        <v>#DIV/0!</v>
      </c>
      <c r="J35" s="33"/>
      <c r="K35" s="4"/>
    </row>
    <row r="36" spans="1:13" x14ac:dyDescent="0.35">
      <c r="A36" s="16"/>
      <c r="B36" s="36"/>
      <c r="C36" s="31"/>
      <c r="D36" s="31"/>
      <c r="E36" s="119"/>
      <c r="F36" s="88"/>
      <c r="G36" s="32"/>
      <c r="H36" s="84"/>
      <c r="I36" s="4"/>
      <c r="J36" s="33"/>
      <c r="K36" s="4"/>
    </row>
    <row r="37" spans="1:13" s="25" customFormat="1" x14ac:dyDescent="0.35">
      <c r="A37" s="19"/>
      <c r="B37" s="19" t="s">
        <v>7</v>
      </c>
      <c r="C37" s="38"/>
      <c r="D37" s="38"/>
      <c r="E37" s="120"/>
      <c r="F37" s="39">
        <f>SUM(F14:F35)</f>
        <v>0</v>
      </c>
      <c r="G37" s="40" t="e">
        <f>F37/$F$43</f>
        <v>#DIV/0!</v>
      </c>
      <c r="H37" s="41">
        <f>SUM(H14:H35)</f>
        <v>0</v>
      </c>
      <c r="I37" s="77" t="e">
        <f>SUM(I14:I35)</f>
        <v>#DIV/0!</v>
      </c>
      <c r="J37" s="42"/>
      <c r="K37" s="18"/>
    </row>
    <row r="38" spans="1:13" s="25" customFormat="1" x14ac:dyDescent="0.35">
      <c r="A38" s="19"/>
      <c r="B38" s="43" t="s">
        <v>8</v>
      </c>
      <c r="C38" s="44"/>
      <c r="D38" s="44"/>
      <c r="E38" s="121"/>
      <c r="F38" s="45">
        <f>F37</f>
        <v>0</v>
      </c>
      <c r="G38" s="46"/>
      <c r="H38" s="45"/>
      <c r="I38" s="44"/>
      <c r="J38" s="47"/>
      <c r="K38" s="18"/>
    </row>
    <row r="39" spans="1:13" s="50" customFormat="1" x14ac:dyDescent="0.35">
      <c r="A39" s="48"/>
      <c r="B39" s="146"/>
      <c r="C39" s="95"/>
      <c r="D39" s="95"/>
      <c r="E39" s="122"/>
      <c r="F39" s="97"/>
      <c r="G39" s="98"/>
      <c r="H39" s="97"/>
      <c r="I39" s="96"/>
      <c r="J39" s="99"/>
      <c r="K39" s="49"/>
    </row>
    <row r="40" spans="1:13" ht="15" thickBot="1" x14ac:dyDescent="0.4">
      <c r="A40" s="16"/>
      <c r="B40" s="51" t="s">
        <v>9</v>
      </c>
      <c r="C40" s="52"/>
      <c r="D40" s="52"/>
      <c r="E40" s="123"/>
      <c r="F40" s="53">
        <f>F38+F39</f>
        <v>0</v>
      </c>
      <c r="G40" s="54" t="e">
        <f>F40/$F$43</f>
        <v>#DIV/0!</v>
      </c>
      <c r="H40" s="85"/>
      <c r="I40" s="55"/>
      <c r="J40" s="56"/>
      <c r="K40" s="4"/>
    </row>
    <row r="41" spans="1:13" x14ac:dyDescent="0.35">
      <c r="A41" s="16"/>
      <c r="B41" s="16" t="s">
        <v>48</v>
      </c>
      <c r="C41" s="57"/>
      <c r="D41" s="57">
        <v>0.15</v>
      </c>
      <c r="E41" s="113"/>
      <c r="F41" s="58"/>
      <c r="G41" s="17" t="e">
        <f>F41/$F$43</f>
        <v>#DIV/0!</v>
      </c>
      <c r="H41" s="58"/>
      <c r="I41" s="4"/>
      <c r="J41" s="56"/>
      <c r="K41" s="4"/>
      <c r="L41" s="59"/>
    </row>
    <row r="42" spans="1:13" ht="15" thickBot="1" x14ac:dyDescent="0.4">
      <c r="A42" s="16"/>
      <c r="B42" s="16" t="s">
        <v>52</v>
      </c>
      <c r="C42" s="57"/>
      <c r="D42" s="57">
        <v>0.1</v>
      </c>
      <c r="E42" s="113"/>
      <c r="F42" s="58"/>
      <c r="G42" s="17" t="e">
        <f>F42/$F$43</f>
        <v>#DIV/0!</v>
      </c>
      <c r="H42" s="58"/>
      <c r="I42" s="4"/>
      <c r="J42" s="56"/>
      <c r="K42" s="4"/>
      <c r="L42" s="59"/>
    </row>
    <row r="43" spans="1:13" s="67" customFormat="1" ht="16" thickBot="1" x14ac:dyDescent="0.4">
      <c r="A43" s="60"/>
      <c r="B43" s="61" t="s">
        <v>10</v>
      </c>
      <c r="C43" s="62"/>
      <c r="D43" s="62"/>
      <c r="E43" s="124"/>
      <c r="F43" s="63">
        <f>F40+F41</f>
        <v>0</v>
      </c>
      <c r="G43" s="64"/>
      <c r="H43" s="63"/>
      <c r="I43" s="62"/>
      <c r="J43" s="65">
        <f>SUM(F43)</f>
        <v>0</v>
      </c>
      <c r="K43" s="66"/>
    </row>
    <row r="44" spans="1:13" ht="15" thickBot="1" x14ac:dyDescent="0.4">
      <c r="A44" s="16"/>
      <c r="B44" s="19" t="s">
        <v>11</v>
      </c>
      <c r="C44" s="57"/>
      <c r="D44" s="57">
        <v>0.21</v>
      </c>
      <c r="E44" s="113"/>
      <c r="F44" s="58">
        <f>D44*F43</f>
        <v>0</v>
      </c>
      <c r="G44" s="17"/>
      <c r="H44" s="58"/>
      <c r="I44" s="4"/>
      <c r="J44" s="68">
        <f>D44*J43</f>
        <v>0</v>
      </c>
      <c r="K44" s="4"/>
    </row>
    <row r="45" spans="1:13" s="67" customFormat="1" ht="19" thickBot="1" x14ac:dyDescent="0.5">
      <c r="A45" s="60"/>
      <c r="B45" s="90" t="s">
        <v>12</v>
      </c>
      <c r="C45" s="70"/>
      <c r="D45" s="70"/>
      <c r="E45" s="125"/>
      <c r="F45" s="71">
        <f>F43+F44</f>
        <v>0</v>
      </c>
      <c r="G45" s="64"/>
      <c r="H45" s="63"/>
      <c r="I45" s="62"/>
      <c r="J45" s="65">
        <f>SUM(J43:J44)</f>
        <v>0</v>
      </c>
      <c r="K45" s="66"/>
    </row>
    <row r="46" spans="1:13" s="67" customFormat="1" ht="16" thickBot="1" x14ac:dyDescent="0.4">
      <c r="A46" s="60"/>
      <c r="B46" s="61"/>
      <c r="C46" s="62"/>
      <c r="D46" s="62"/>
      <c r="E46" s="124"/>
      <c r="F46" s="63"/>
      <c r="G46" s="64"/>
      <c r="H46" s="63"/>
      <c r="I46" s="62"/>
      <c r="J46" s="65"/>
      <c r="K46" s="66"/>
      <c r="L46" s="140"/>
    </row>
    <row r="47" spans="1:13" s="11" customFormat="1" ht="19" thickBot="1" x14ac:dyDescent="0.5">
      <c r="A47" s="5"/>
      <c r="B47" s="94" t="s">
        <v>13</v>
      </c>
      <c r="C47" s="70"/>
      <c r="D47" s="70"/>
      <c r="E47" s="125"/>
      <c r="F47" s="127"/>
      <c r="G47" s="72"/>
      <c r="H47" s="71"/>
      <c r="I47" s="70"/>
      <c r="J47" s="73"/>
      <c r="K47" s="10"/>
      <c r="L47" s="141"/>
      <c r="M47" s="74"/>
    </row>
    <row r="48" spans="1:13" s="136" customFormat="1" ht="22" thickBot="1" x14ac:dyDescent="0.8">
      <c r="A48" s="128"/>
      <c r="B48" s="129" t="s">
        <v>40</v>
      </c>
      <c r="C48" s="130"/>
      <c r="D48" s="130"/>
      <c r="E48" s="131"/>
      <c r="F48" s="138"/>
      <c r="G48" s="132"/>
      <c r="H48" s="133"/>
      <c r="I48" s="130"/>
      <c r="J48" s="134">
        <f>F48</f>
        <v>0</v>
      </c>
      <c r="K48" s="135"/>
      <c r="M48" s="137"/>
    </row>
    <row r="49" spans="1:13" ht="15" thickBot="1" x14ac:dyDescent="0.4">
      <c r="A49" s="16"/>
      <c r="B49" s="4"/>
      <c r="C49" s="4"/>
      <c r="D49" s="4"/>
      <c r="E49" s="113"/>
      <c r="F49" s="58"/>
      <c r="G49" s="17"/>
      <c r="H49" s="58"/>
      <c r="I49" s="4"/>
      <c r="J49" s="4"/>
      <c r="K49" s="4"/>
    </row>
    <row r="50" spans="1:13" s="136" customFormat="1" ht="22" thickBot="1" x14ac:dyDescent="0.8">
      <c r="A50" s="128"/>
      <c r="B50" s="129" t="s">
        <v>41</v>
      </c>
      <c r="C50" s="130"/>
      <c r="D50" s="130"/>
      <c r="E50" s="131"/>
      <c r="F50" s="138">
        <f>F48/1.21</f>
        <v>0</v>
      </c>
      <c r="G50" s="132"/>
      <c r="H50" s="133"/>
      <c r="I50" s="130"/>
      <c r="J50" s="134">
        <f>SUM(F50)</f>
        <v>0</v>
      </c>
      <c r="K50" s="135"/>
      <c r="M50" s="137"/>
    </row>
    <row r="51" spans="1:13" s="11" customFormat="1" ht="19" thickBot="1" x14ac:dyDescent="0.5">
      <c r="A51" s="5"/>
      <c r="B51" s="69" t="s">
        <v>42</v>
      </c>
      <c r="C51" s="70"/>
      <c r="D51" s="70"/>
      <c r="E51" s="125"/>
      <c r="F51" s="139"/>
      <c r="G51" s="72"/>
      <c r="H51" s="71"/>
      <c r="I51" s="70"/>
      <c r="J51" s="73">
        <f>SUM(F51)</f>
        <v>0</v>
      </c>
      <c r="K51" s="10"/>
      <c r="M51" s="74"/>
    </row>
  </sheetData>
  <mergeCells count="1">
    <mergeCell ref="H11:I11"/>
  </mergeCells>
  <pageMargins left="0.7" right="0.7" top="0.75" bottom="0.75" header="0.3" footer="0.3"/>
  <pageSetup paperSize="9" scale="53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CACHÉ Conceptos</vt:lpstr>
      <vt:lpstr>CÁLCULO CACHÉ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M. Carbonell</dc:creator>
  <cp:lastModifiedBy>Maria Moral</cp:lastModifiedBy>
  <cp:lastPrinted>2016-03-03T16:57:12Z</cp:lastPrinted>
  <dcterms:created xsi:type="dcterms:W3CDTF">2015-01-26T13:15:30Z</dcterms:created>
  <dcterms:modified xsi:type="dcterms:W3CDTF">2025-06-11T08:18:35Z</dcterms:modified>
</cp:coreProperties>
</file>