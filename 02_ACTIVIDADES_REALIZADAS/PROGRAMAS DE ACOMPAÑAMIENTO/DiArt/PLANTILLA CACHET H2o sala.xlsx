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CHÉ Conceptos" sheetId="1" r:id="rId4"/>
    <sheet name="CÁLCULO CACHÉ" sheetId="2" r:id="rId5"/>
  </sheets>
</workbook>
</file>

<file path=xl/sharedStrings.xml><?xml version="1.0" encoding="utf-8"?>
<sst xmlns="http://schemas.openxmlformats.org/spreadsheetml/2006/main" uniqueCount="68">
  <si>
    <t>TÍTULO DE LA PRODUCCIÓN</t>
  </si>
  <si>
    <t>COMPAÑÍA / CREADORA</t>
  </si>
  <si>
    <t>CONCEPTOS</t>
  </si>
  <si>
    <t>Coste</t>
  </si>
  <si>
    <t>Ud.</t>
  </si>
  <si>
    <t>Observaciones</t>
  </si>
  <si>
    <t>SALARIOS (COSTE EMPRESA)</t>
  </si>
  <si>
    <t>Actrius</t>
  </si>
  <si>
    <t>/función</t>
  </si>
  <si>
    <t>x 2 personas</t>
  </si>
  <si>
    <t>2a función</t>
  </si>
  <si>
    <t>x dia, si salimos, minimum dos dias</t>
  </si>
  <si>
    <t>Técnico/producción</t>
  </si>
  <si>
    <t>Seguridad Social asalariados</t>
  </si>
  <si>
    <t>TRANSPORTE (SIN IVA)</t>
  </si>
  <si>
    <t xml:space="preserve">Avión </t>
  </si>
  <si>
    <t>x3 personas, IEB suvención</t>
  </si>
  <si>
    <t>Alquiler Coche 5 plazas.</t>
  </si>
  <si>
    <t>/día</t>
  </si>
  <si>
    <t>x3 días: IEB subevnción possible</t>
  </si>
  <si>
    <t>Gasolina (100km)</t>
  </si>
  <si>
    <t>100km</t>
  </si>
  <si>
    <t>Peajes y parking</t>
  </si>
  <si>
    <t xml:space="preserve">furgoneta </t>
  </si>
  <si>
    <t>DIETAS, ALOJAMIENTO… (SIN IVA)</t>
  </si>
  <si>
    <t>Dietas completas</t>
  </si>
  <si>
    <t>x3</t>
  </si>
  <si>
    <t>Alojamientos</t>
  </si>
  <si>
    <t>x3 : IEB subevnción possible</t>
  </si>
  <si>
    <t>Varios (cartelería, imprevistos, etc)</t>
  </si>
  <si>
    <t>OTROS (SIN IVA)</t>
  </si>
  <si>
    <t>Responsable prensa en gira</t>
  </si>
  <si>
    <t>Prensa/Comunicación (previa bolo)</t>
  </si>
  <si>
    <t>Gestoría, seguros…etc.</t>
  </si>
  <si>
    <t>SUBTOTAL</t>
  </si>
  <si>
    <t>TÍTULO ESPECTÁCULO - artista/compañía</t>
  </si>
  <si>
    <t>CACHET 1 FUNCION (1 NOCHES TEC. / 1 NOCHE ACTORES)</t>
  </si>
  <si>
    <t>cachet en MADRID</t>
  </si>
  <si>
    <t>Condiciones</t>
  </si>
  <si>
    <t>Actores, técnico y prensa 1/2 (día de función)</t>
  </si>
  <si>
    <t>Actores y técnico asalariados</t>
  </si>
  <si>
    <t>Prensa fra.</t>
  </si>
  <si>
    <t>Nº DÍAS/ FUNC./ KMS</t>
  </si>
  <si>
    <t>Nº Uds.</t>
  </si>
  <si>
    <t>Coste /Ud.</t>
  </si>
  <si>
    <t>% SIN IVA</t>
  </si>
  <si>
    <t>Actores</t>
  </si>
  <si>
    <t>TOTAL SALARIOS</t>
  </si>
  <si>
    <t>Alquiler  furgoneta y transporte actores</t>
  </si>
  <si>
    <t>Gasolina  (ida y vuelta)</t>
  </si>
  <si>
    <t>TOTAL TRANSPORTE</t>
  </si>
  <si>
    <t>dietas técnicos</t>
  </si>
  <si>
    <t>TOTAL DIETAS Y ALOJAM.</t>
  </si>
  <si>
    <t>Material promocional</t>
  </si>
  <si>
    <t>-</t>
  </si>
  <si>
    <t>TOTAL OTROS</t>
  </si>
  <si>
    <t>CACHÉ ARTÍSTICO</t>
  </si>
  <si>
    <t>MOVILIDAD PENINSULAR + ALOJAMIENTO</t>
  </si>
  <si>
    <t>CACHET SIN IVA</t>
  </si>
  <si>
    <t>porcentaje distribución sobre cachet aplicado</t>
  </si>
  <si>
    <t>porcentaje PRODUCCIÓN sobre cachet aplicado</t>
  </si>
  <si>
    <t>COSTE TOTAL SIN IVA</t>
  </si>
  <si>
    <t>IVA</t>
  </si>
  <si>
    <t>TOTAL IVA INCLUIDO</t>
  </si>
  <si>
    <t>CACHET APLICADO CON IVA</t>
  </si>
  <si>
    <t>BENEFICIO / AMORTIZACIÓN CON IVA</t>
  </si>
  <si>
    <t>BENEFICIO / AMORTIZACIÓN SIN IVA</t>
  </si>
  <si>
    <t>CACHET APLICADO SIN IVA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</si>
</sst>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€ &quot;;&quot;-&quot;* #,##0.00&quot; € &quot;;&quot; &quot;* &quot;-&quot;??&quot; € &quot;"/>
    <numFmt numFmtId="60" formatCode="&quot; &quot;[$€-2]&quot; &quot;* #,##0.00&quot; &quot;;&quot;-&quot;[$€-2]&quot; &quot;* #,##0.00&quot; &quot;;&quot; &quot;[$€-2]&quot; &quot;* &quot;-&quot;??&quot; &quot;"/>
    <numFmt numFmtId="61" formatCode="&quot; &quot;* #,##0.00&quot; &quot;[$€-2]&quot; &quot;;&quot;-&quot;* #,##0.00&quot; &quot;[$€-2]&quot; &quot;;&quot; &quot;* &quot;-&quot;??&quot; &quot;[$€-2]&quot; &quot;"/>
  </numFmts>
  <fonts count="1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b val="1"/>
      <sz val="11"/>
      <color indexed="8"/>
      <name val="Calibri"/>
    </font>
    <font>
      <i val="1"/>
      <sz val="11"/>
      <color indexed="8"/>
      <name val="Calibri"/>
    </font>
    <font>
      <i val="1"/>
      <sz val="11"/>
      <color indexed="11"/>
      <name val="Calibri"/>
    </font>
    <font>
      <b val="1"/>
      <sz val="11"/>
      <color indexed="14"/>
      <name val="Calibri"/>
    </font>
    <font>
      <b val="1"/>
      <sz val="14"/>
      <color indexed="15"/>
      <name val="Calibri"/>
    </font>
    <font>
      <i val="1"/>
      <sz val="11"/>
      <color indexed="16"/>
      <name val="Calibri"/>
    </font>
    <font>
      <sz val="11"/>
      <color indexed="14"/>
      <name val="Calibri"/>
    </font>
    <font>
      <b val="1"/>
      <sz val="12"/>
      <color indexed="8"/>
      <name val="Calibri"/>
    </font>
    <font>
      <sz val="12"/>
      <color indexed="8"/>
      <name val="Calibri"/>
    </font>
    <font>
      <b val="1"/>
      <sz val="12"/>
      <color indexed="11"/>
      <name val="Calibri"/>
    </font>
    <font>
      <b val="1"/>
      <sz val="14"/>
      <color indexed="11"/>
      <name val="Calibri"/>
    </font>
    <font>
      <b val="1"/>
      <i val="1"/>
      <sz val="14"/>
      <color indexed="8"/>
      <name val="Calibri"/>
    </font>
    <font>
      <b val="1"/>
      <sz val="14"/>
      <color indexed="17"/>
      <name val="Calibri"/>
    </font>
    <font>
      <b val="1"/>
      <i val="1"/>
      <u val="single"/>
      <sz val="14"/>
      <color indexed="17"/>
      <name val="Calibri"/>
    </font>
    <font>
      <b val="1"/>
      <sz val="12"/>
      <color indexed="17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52">
    <border>
      <left/>
      <right/>
      <top/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dotted">
        <color indexed="8"/>
      </bottom>
      <diagonal/>
    </border>
    <border>
      <left style="medium">
        <color indexed="8"/>
      </left>
      <right style="thin">
        <color indexed="9"/>
      </right>
      <top style="dotted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dotted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dotted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3" borderId="4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0" fontId="3" borderId="5" applyNumberFormat="0" applyFont="1" applyFill="0" applyBorder="1" applyAlignment="1" applyProtection="0">
      <alignment vertical="bottom"/>
    </xf>
    <xf numFmtId="0" fontId="3" borderId="6" applyNumberFormat="0" applyFont="1" applyFill="0" applyBorder="1" applyAlignment="1" applyProtection="0">
      <alignment vertical="bottom"/>
    </xf>
    <xf numFmtId="0" fontId="3" borderId="7" applyNumberFormat="0" applyFont="1" applyFill="0" applyBorder="1" applyAlignment="1" applyProtection="0">
      <alignment vertical="bottom"/>
    </xf>
    <xf numFmtId="0" fontId="3" borderId="3" applyNumberFormat="0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59" fontId="3" borderId="9" applyNumberFormat="1" applyFont="1" applyFill="0" applyBorder="1" applyAlignment="1" applyProtection="0">
      <alignment vertical="bottom"/>
    </xf>
    <xf numFmtId="0" fontId="3" borderId="9" applyNumberFormat="0" applyFont="1" applyFill="0" applyBorder="1" applyAlignment="1" applyProtection="0">
      <alignment vertical="bottom"/>
    </xf>
    <xf numFmtId="0" fontId="3" borderId="10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0" fontId="4" borderId="9" applyNumberFormat="0" applyFont="1" applyFill="0" applyBorder="1" applyAlignment="1" applyProtection="0">
      <alignment vertical="bottom"/>
    </xf>
    <xf numFmtId="59" fontId="4" borderId="9" applyNumberFormat="1" applyFont="1" applyFill="0" applyBorder="1" applyAlignment="1" applyProtection="0">
      <alignment vertical="bottom"/>
    </xf>
    <xf numFmtId="0" fontId="4" borderId="3" applyNumberFormat="0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49" fontId="4" borderId="11" applyNumberFormat="1" applyFont="1" applyFill="0" applyBorder="1" applyAlignment="1" applyProtection="0">
      <alignment vertical="bottom"/>
    </xf>
    <xf numFmtId="49" fontId="4" fillId="2" borderId="12" applyNumberFormat="1" applyFont="1" applyFill="1" applyBorder="1" applyAlignment="1" applyProtection="0">
      <alignment vertical="bottom" wrapText="1"/>
    </xf>
    <xf numFmtId="49" fontId="4" fillId="2" borderId="13" applyNumberFormat="1" applyFont="1" applyFill="1" applyBorder="1" applyAlignment="1" applyProtection="0">
      <alignment horizontal="center" vertical="bottom" wrapText="1"/>
    </xf>
    <xf numFmtId="49" fontId="4" borderId="14" applyNumberFormat="1" applyFont="1" applyFill="0" applyBorder="1" applyAlignment="1" applyProtection="0">
      <alignment horizontal="center" vertical="bottom"/>
    </xf>
    <xf numFmtId="0" fontId="4" borderId="7" applyNumberFormat="0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59" fontId="0" borderId="16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horizontal="center" vertical="bottom"/>
    </xf>
    <xf numFmtId="0" fontId="0" borderId="18" applyNumberFormat="0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horizontal="center" vertical="bottom"/>
    </xf>
    <xf numFmtId="49" fontId="4" borderId="19" applyNumberFormat="1" applyFont="1" applyFill="0" applyBorder="1" applyAlignment="1" applyProtection="0">
      <alignment horizontal="center" vertical="bottom"/>
    </xf>
    <xf numFmtId="59" fontId="5" borderId="20" applyNumberFormat="1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horizontal="center" vertical="bottom"/>
    </xf>
    <xf numFmtId="49" fontId="0" borderId="19" applyNumberFormat="1" applyFont="1" applyFill="0" applyBorder="1" applyAlignment="1" applyProtection="0">
      <alignment vertical="bottom"/>
    </xf>
    <xf numFmtId="59" fontId="6" borderId="20" applyNumberFormat="1" applyFont="1" applyFill="0" applyBorder="1" applyAlignment="1" applyProtection="0">
      <alignment vertical="bottom"/>
    </xf>
    <xf numFmtId="49" fontId="0" borderId="21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60" fontId="0" borderId="3" applyNumberFormat="1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49" fontId="0" borderId="19" applyNumberFormat="1" applyFont="1" applyFill="0" applyBorder="1" applyAlignment="1" applyProtection="0">
      <alignment horizontal="left" vertical="bottom"/>
    </xf>
    <xf numFmtId="9" fontId="6" borderId="20" applyNumberFormat="1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horizontal="right" vertical="bottom"/>
    </xf>
    <xf numFmtId="0" fontId="0" borderId="22" applyNumberFormat="0" applyFont="1" applyFill="0" applyBorder="1" applyAlignment="1" applyProtection="0">
      <alignment vertical="bottom"/>
    </xf>
    <xf numFmtId="49" fontId="0" fillId="3" borderId="23" applyNumberFormat="1" applyFont="1" applyFill="1" applyBorder="1" applyAlignment="1" applyProtection="0">
      <alignment vertical="bottom"/>
    </xf>
    <xf numFmtId="49" fontId="0" fillId="4" borderId="23" applyNumberFormat="1" applyFont="1" applyFill="1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49" fontId="0" borderId="22" applyNumberFormat="1" applyFont="1" applyFill="0" applyBorder="1" applyAlignment="1" applyProtection="0">
      <alignment vertical="bottom"/>
    </xf>
    <xf numFmtId="59" fontId="7" borderId="20" applyNumberFormat="1" applyFont="1" applyFill="0" applyBorder="1" applyAlignment="1" applyProtection="0">
      <alignment vertical="bottom"/>
    </xf>
    <xf numFmtId="49" fontId="4" borderId="25" applyNumberFormat="1" applyFont="1" applyFill="0" applyBorder="1" applyAlignment="1" applyProtection="0">
      <alignment vertical="bottom"/>
    </xf>
    <xf numFmtId="59" fontId="4" borderId="26" applyNumberFormat="1" applyFont="1" applyFill="0" applyBorder="1" applyAlignment="1" applyProtection="0">
      <alignment vertical="bottom"/>
    </xf>
    <xf numFmtId="9" fontId="4" borderId="27" applyNumberFormat="1" applyFont="1" applyFill="0" applyBorder="1" applyAlignment="1" applyProtection="0">
      <alignment vertical="bottom"/>
    </xf>
    <xf numFmtId="0" fontId="4" borderId="28" applyNumberFormat="0" applyFont="1" applyFill="0" applyBorder="1" applyAlignment="1" applyProtection="0">
      <alignment vertical="bottom"/>
    </xf>
    <xf numFmtId="0" fontId="4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2" fontId="0" borderId="2" applyNumberFormat="1" applyFont="1" applyFill="0" applyBorder="1" applyAlignment="1" applyProtection="0">
      <alignment vertical="bottom"/>
    </xf>
    <xf numFmtId="10" fontId="0" borderId="2" applyNumberFormat="1" applyFont="1" applyFill="0" applyBorder="1" applyAlignment="1" applyProtection="0">
      <alignment vertical="bottom"/>
    </xf>
    <xf numFmtId="2" fontId="3" borderId="5" applyNumberFormat="1" applyFont="1" applyFill="0" applyBorder="1" applyAlignment="1" applyProtection="0">
      <alignment vertical="bottom"/>
    </xf>
    <xf numFmtId="10" fontId="3" borderId="5" applyNumberFormat="1" applyFont="1" applyFill="0" applyBorder="1" applyAlignment="1" applyProtection="0">
      <alignment vertical="bottom"/>
    </xf>
    <xf numFmtId="49" fontId="8" borderId="8" applyNumberFormat="1" applyFont="1" applyFill="0" applyBorder="1" applyAlignment="1" applyProtection="0">
      <alignment vertical="bottom"/>
    </xf>
    <xf numFmtId="0" fontId="8" borderId="9" applyNumberFormat="0" applyFont="1" applyFill="0" applyBorder="1" applyAlignment="1" applyProtection="0">
      <alignment vertical="bottom"/>
    </xf>
    <xf numFmtId="2" fontId="8" borderId="9" applyNumberFormat="1" applyFont="1" applyFill="0" applyBorder="1" applyAlignment="1" applyProtection="0">
      <alignment vertical="bottom"/>
    </xf>
    <xf numFmtId="49" fontId="8" borderId="9" applyNumberFormat="1" applyFont="1" applyFill="0" applyBorder="1" applyAlignment="1" applyProtection="0">
      <alignment vertical="bottom"/>
    </xf>
    <xf numFmtId="10" fontId="3" borderId="9" applyNumberFormat="1" applyFont="1" applyFill="0" applyBorder="1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horizontal="left" vertical="bottom"/>
    </xf>
    <xf numFmtId="2" fontId="3" borderId="3" applyNumberFormat="1" applyFont="1" applyFill="0" applyBorder="1" applyAlignment="1" applyProtection="0">
      <alignment vertical="bottom"/>
    </xf>
    <xf numFmtId="59" fontId="3" borderId="3" applyNumberFormat="1" applyFont="1" applyFill="0" applyBorder="1" applyAlignment="1" applyProtection="0">
      <alignment vertical="bottom"/>
    </xf>
    <xf numFmtId="10" fontId="3" borderId="3" applyNumberFormat="1" applyFont="1" applyFill="0" applyBorder="1" applyAlignment="1" applyProtection="0">
      <alignment vertical="bottom"/>
    </xf>
    <xf numFmtId="2" fontId="0" borderId="3" applyNumberFormat="1" applyFont="1" applyFill="0" applyBorder="1" applyAlignment="1" applyProtection="0">
      <alignment vertical="bottom"/>
    </xf>
    <xf numFmtId="10" fontId="0" borderId="3" applyNumberFormat="1" applyFont="1" applyFill="0" applyBorder="1" applyAlignment="1" applyProtection="0">
      <alignment vertical="bottom"/>
    </xf>
    <xf numFmtId="2" fontId="4" borderId="9" applyNumberFormat="1" applyFont="1" applyFill="0" applyBorder="1" applyAlignment="1" applyProtection="0">
      <alignment vertical="bottom"/>
    </xf>
    <xf numFmtId="59" fontId="0" borderId="9" applyNumberFormat="1" applyFont="1" applyFill="0" applyBorder="1" applyAlignment="1" applyProtection="0">
      <alignment vertical="bottom"/>
    </xf>
    <xf numFmtId="10" fontId="0" borderId="9" applyNumberFormat="1" applyFont="1" applyFill="0" applyBorder="1" applyAlignment="1" applyProtection="0">
      <alignment vertical="bottom"/>
    </xf>
    <xf numFmtId="59" fontId="4" fillId="2" borderId="12" applyNumberFormat="1" applyFont="1" applyFill="1" applyBorder="1" applyAlignment="1" applyProtection="0">
      <alignment horizontal="center" vertical="bottom" wrapText="1"/>
    </xf>
    <xf numFmtId="49" fontId="4" fillId="2" borderId="12" applyNumberFormat="1" applyFont="1" applyFill="1" applyBorder="1" applyAlignment="1" applyProtection="0">
      <alignment horizontal="center" vertical="bottom" wrapText="1"/>
    </xf>
    <xf numFmtId="0" fontId="4" fillId="2" borderId="29" applyNumberFormat="0" applyFont="1" applyFill="1" applyBorder="1" applyAlignment="1" applyProtection="0">
      <alignment horizontal="center" vertical="bottom" wrapText="1"/>
    </xf>
    <xf numFmtId="0" fontId="0" borderId="30" applyNumberFormat="0" applyFont="1" applyFill="0" applyBorder="1" applyAlignment="1" applyProtection="0">
      <alignment vertical="bottom"/>
    </xf>
    <xf numFmtId="0" fontId="4" borderId="14" applyNumberFormat="0" applyFont="1" applyFill="0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vertical="bottom"/>
    </xf>
    <xf numFmtId="2" fontId="0" borderId="16" applyNumberFormat="1" applyFont="1" applyFill="0" applyBorder="1" applyAlignment="1" applyProtection="0">
      <alignment vertical="bottom"/>
    </xf>
    <xf numFmtId="59" fontId="0" borderId="16" applyNumberFormat="1" applyFont="1" applyFill="0" applyBorder="1" applyAlignment="1" applyProtection="0">
      <alignment horizontal="center" vertical="bottom"/>
    </xf>
    <xf numFmtId="10" fontId="0" borderId="16" applyNumberFormat="1" applyFont="1" applyFill="0" applyBorder="1" applyAlignment="1" applyProtection="0">
      <alignment horizontal="center" vertical="bottom"/>
    </xf>
    <xf numFmtId="59" fontId="0" borderId="31" applyNumberFormat="1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5" borderId="20" applyNumberFormat="0" applyFont="1" applyFill="0" applyBorder="1" applyAlignment="1" applyProtection="0">
      <alignment vertical="bottom"/>
    </xf>
    <xf numFmtId="2" fontId="5" borderId="20" applyNumberFormat="1" applyFont="1" applyFill="0" applyBorder="1" applyAlignment="1" applyProtection="0">
      <alignment vertical="bottom"/>
    </xf>
    <xf numFmtId="59" fontId="0" borderId="20" applyNumberFormat="1" applyFont="1" applyFill="0" applyBorder="1" applyAlignment="1" applyProtection="0">
      <alignment horizontal="center" vertical="bottom"/>
    </xf>
    <xf numFmtId="10" fontId="0" borderId="20" applyNumberFormat="1" applyFont="1" applyFill="0" applyBorder="1" applyAlignment="1" applyProtection="0">
      <alignment horizontal="center" vertical="bottom"/>
    </xf>
    <xf numFmtId="59" fontId="0" borderId="32" applyNumberFormat="1" applyFont="1" applyFill="0" applyBorder="1" applyAlignment="1" applyProtection="0">
      <alignment horizontal="center" vertical="bottom"/>
    </xf>
    <xf numFmtId="0" fontId="0" borderId="33" applyNumberFormat="0" applyFont="1" applyFill="0" applyBorder="1" applyAlignment="1" applyProtection="0">
      <alignment horizontal="center" vertical="bottom"/>
    </xf>
    <xf numFmtId="0" fontId="5" borderId="20" applyNumberFormat="1" applyFont="1" applyFill="0" applyBorder="1" applyAlignment="1" applyProtection="0">
      <alignment vertical="bottom"/>
    </xf>
    <xf numFmtId="59" fontId="0" borderId="20" applyNumberFormat="1" applyFont="1" applyFill="0" applyBorder="1" applyAlignment="1" applyProtection="0">
      <alignment vertical="bottom"/>
    </xf>
    <xf numFmtId="10" fontId="0" borderId="20" applyNumberFormat="1" applyFont="1" applyFill="0" applyBorder="1" applyAlignment="1" applyProtection="0">
      <alignment vertical="bottom"/>
    </xf>
    <xf numFmtId="59" fontId="0" borderId="32" applyNumberFormat="1" applyFont="1" applyFill="0" applyBorder="1" applyAlignment="1" applyProtection="0">
      <alignment vertical="bottom"/>
    </xf>
    <xf numFmtId="0" fontId="0" borderId="33" applyNumberFormat="0" applyFont="1" applyFill="0" applyBorder="1" applyAlignment="1" applyProtection="0">
      <alignment vertical="bottom"/>
    </xf>
    <xf numFmtId="49" fontId="0" borderId="19" applyNumberFormat="1" applyFont="1" applyFill="0" applyBorder="1" applyAlignment="1" applyProtection="0">
      <alignment horizontal="right" vertical="bottom"/>
    </xf>
    <xf numFmtId="9" fontId="5" borderId="20" applyNumberFormat="1" applyFont="1" applyFill="0" applyBorder="1" applyAlignment="1" applyProtection="0">
      <alignment vertical="bottom"/>
    </xf>
    <xf numFmtId="10" fontId="0" borderId="33" applyNumberFormat="1" applyFont="1" applyFill="0" applyBorder="1" applyAlignment="1" applyProtection="0">
      <alignment vertical="bottom"/>
    </xf>
    <xf numFmtId="0" fontId="7" borderId="33" applyNumberFormat="0" applyFont="1" applyFill="0" applyBorder="1" applyAlignment="1" applyProtection="0">
      <alignment vertical="bottom"/>
    </xf>
    <xf numFmtId="49" fontId="5" borderId="20" applyNumberFormat="1" applyFont="1" applyFill="0" applyBorder="1" applyAlignment="1" applyProtection="0">
      <alignment vertical="bottom"/>
    </xf>
    <xf numFmtId="49" fontId="0" borderId="20" applyNumberFormat="1" applyFont="1" applyFill="0" applyBorder="1" applyAlignment="1" applyProtection="0">
      <alignment vertical="bottom"/>
    </xf>
    <xf numFmtId="0" fontId="7" borderId="20" applyNumberFormat="0" applyFont="1" applyFill="0" applyBorder="1" applyAlignment="1" applyProtection="0">
      <alignment vertical="bottom"/>
    </xf>
    <xf numFmtId="2" fontId="7" borderId="20" applyNumberFormat="1" applyFont="1" applyFill="0" applyBorder="1" applyAlignment="1" applyProtection="0">
      <alignment vertical="bottom"/>
    </xf>
    <xf numFmtId="49" fontId="4" borderId="34" applyNumberFormat="1" applyFont="1" applyFill="0" applyBorder="1" applyAlignment="1" applyProtection="0">
      <alignment vertical="bottom"/>
    </xf>
    <xf numFmtId="0" fontId="4" borderId="35" applyNumberFormat="0" applyFont="1" applyFill="0" applyBorder="1" applyAlignment="1" applyProtection="0">
      <alignment vertical="bottom"/>
    </xf>
    <xf numFmtId="2" fontId="4" borderId="35" applyNumberFormat="1" applyFont="1" applyFill="0" applyBorder="1" applyAlignment="1" applyProtection="0">
      <alignment vertical="bottom"/>
    </xf>
    <xf numFmtId="59" fontId="4" borderId="35" applyNumberFormat="1" applyFont="1" applyFill="0" applyBorder="1" applyAlignment="1" applyProtection="0">
      <alignment vertical="bottom"/>
    </xf>
    <xf numFmtId="10" fontId="4" borderId="35" applyNumberFormat="1" applyFont="1" applyFill="0" applyBorder="1" applyAlignment="1" applyProtection="0">
      <alignment vertical="bottom"/>
    </xf>
    <xf numFmtId="59" fontId="4" borderId="36" applyNumberFormat="1" applyFont="1" applyFill="0" applyBorder="1" applyAlignment="1" applyProtection="0">
      <alignment vertical="bottom"/>
    </xf>
    <xf numFmtId="9" fontId="4" borderId="37" applyNumberFormat="1" applyFont="1" applyFill="0" applyBorder="1" applyAlignment="1" applyProtection="0">
      <alignment vertical="bottom"/>
    </xf>
    <xf numFmtId="0" fontId="4" borderId="38" applyNumberFormat="0" applyFont="1" applyFill="0" applyBorder="1" applyAlignment="1" applyProtection="0">
      <alignment vertical="bottom"/>
    </xf>
    <xf numFmtId="49" fontId="4" borderId="39" applyNumberFormat="1" applyFont="1" applyFill="0" applyBorder="1" applyAlignment="1" applyProtection="0">
      <alignment vertical="bottom"/>
    </xf>
    <xf numFmtId="0" fontId="4" borderId="40" applyNumberFormat="0" applyFont="1" applyFill="0" applyBorder="1" applyAlignment="1" applyProtection="0">
      <alignment vertical="bottom"/>
    </xf>
    <xf numFmtId="2" fontId="4" borderId="40" applyNumberFormat="1" applyFont="1" applyFill="0" applyBorder="1" applyAlignment="1" applyProtection="0">
      <alignment vertical="bottom"/>
    </xf>
    <xf numFmtId="59" fontId="4" borderId="40" applyNumberFormat="1" applyFont="1" applyFill="0" applyBorder="1" applyAlignment="1" applyProtection="0">
      <alignment vertical="bottom"/>
    </xf>
    <xf numFmtId="10" fontId="4" borderId="40" applyNumberFormat="1" applyFont="1" applyFill="0" applyBorder="1" applyAlignment="1" applyProtection="0">
      <alignment vertical="bottom"/>
    </xf>
    <xf numFmtId="0" fontId="4" borderId="41" applyNumberFormat="0" applyFont="1" applyFill="0" applyBorder="1" applyAlignment="1" applyProtection="0">
      <alignment vertical="bottom"/>
    </xf>
    <xf numFmtId="59" fontId="4" borderId="42" applyNumberFormat="1" applyFont="1" applyFill="0" applyBorder="1" applyAlignment="1" applyProtection="0">
      <alignment vertical="bottom"/>
    </xf>
    <xf numFmtId="0" fontId="5" borderId="4" applyNumberFormat="0" applyFont="1" applyFill="0" applyBorder="1" applyAlignment="1" applyProtection="0">
      <alignment vertical="bottom"/>
    </xf>
    <xf numFmtId="0" fontId="0" borderId="43" applyNumberFormat="0" applyFont="1" applyFill="0" applyBorder="1" applyAlignment="1" applyProtection="0">
      <alignment vertical="bottom"/>
    </xf>
    <xf numFmtId="9" fontId="9" borderId="44" applyNumberFormat="1" applyFont="1" applyFill="0" applyBorder="1" applyAlignment="1" applyProtection="0">
      <alignment vertical="bottom"/>
    </xf>
    <xf numFmtId="2" fontId="9" borderId="44" applyNumberFormat="1" applyFont="1" applyFill="0" applyBorder="1" applyAlignment="1" applyProtection="0">
      <alignment vertical="bottom"/>
    </xf>
    <xf numFmtId="59" fontId="9" borderId="44" applyNumberFormat="1" applyFont="1" applyFill="0" applyBorder="1" applyAlignment="1" applyProtection="0">
      <alignment vertical="bottom"/>
    </xf>
    <xf numFmtId="10" fontId="9" borderId="44" applyNumberFormat="1" applyFont="1" applyFill="0" applyBorder="1" applyAlignment="1" applyProtection="0">
      <alignment vertical="bottom"/>
    </xf>
    <xf numFmtId="0" fontId="9" borderId="37" applyNumberFormat="0" applyFont="1" applyFill="0" applyBorder="1" applyAlignment="1" applyProtection="0">
      <alignment vertical="bottom"/>
    </xf>
    <xf numFmtId="59" fontId="9" borderId="38" applyNumberFormat="1" applyFont="1" applyFill="0" applyBorder="1" applyAlignment="1" applyProtection="0">
      <alignment vertical="bottom"/>
    </xf>
    <xf numFmtId="0" fontId="5" borderId="7" applyNumberFormat="0" applyFont="1" applyFill="0" applyBorder="1" applyAlignment="1" applyProtection="0">
      <alignment vertical="bottom"/>
    </xf>
    <xf numFmtId="0" fontId="5" borderId="3" applyNumberFormat="0" applyFont="1" applyFill="0" applyBorder="1" applyAlignment="1" applyProtection="0">
      <alignment vertical="bottom"/>
    </xf>
    <xf numFmtId="49" fontId="4" borderId="45" applyNumberFormat="1" applyFont="1" applyFill="0" applyBorder="1" applyAlignment="1" applyProtection="0">
      <alignment vertical="bottom"/>
    </xf>
    <xf numFmtId="9" fontId="10" borderId="46" applyNumberFormat="1" applyFont="1" applyFill="0" applyBorder="1" applyAlignment="1" applyProtection="0">
      <alignment vertical="bottom"/>
    </xf>
    <xf numFmtId="2" fontId="0" borderId="46" applyNumberFormat="1" applyFont="1" applyFill="0" applyBorder="1" applyAlignment="1" applyProtection="0">
      <alignment vertical="bottom"/>
    </xf>
    <xf numFmtId="59" fontId="4" borderId="46" applyNumberFormat="1" applyFont="1" applyFill="0" applyBorder="1" applyAlignment="1" applyProtection="0">
      <alignment vertical="bottom"/>
    </xf>
    <xf numFmtId="10" fontId="0" borderId="46" applyNumberFormat="1" applyFont="1" applyFill="0" applyBorder="1" applyAlignment="1" applyProtection="0">
      <alignment vertical="bottom"/>
    </xf>
    <xf numFmtId="59" fontId="0" borderId="46" applyNumberFormat="1" applyFont="1" applyFill="0" applyBorder="1" applyAlignment="1" applyProtection="0">
      <alignment vertical="bottom"/>
    </xf>
    <xf numFmtId="0" fontId="0" borderId="47" applyNumberFormat="0" applyFont="1" applyFill="0" applyBorder="1" applyAlignment="1" applyProtection="0">
      <alignment vertical="bottom"/>
    </xf>
    <xf numFmtId="59" fontId="0" borderId="42" applyNumberFormat="1" applyFont="1" applyFill="0" applyBorder="1" applyAlignment="1" applyProtection="0">
      <alignment vertical="bottom"/>
    </xf>
    <xf numFmtId="49" fontId="0" borderId="48" applyNumberFormat="1" applyFont="1" applyFill="0" applyBorder="1" applyAlignment="1" applyProtection="0">
      <alignment vertical="bottom"/>
    </xf>
    <xf numFmtId="9" fontId="10" borderId="49" applyNumberFormat="1" applyFont="1" applyFill="0" applyBorder="1" applyAlignment="1" applyProtection="0">
      <alignment vertical="bottom"/>
    </xf>
    <xf numFmtId="2" fontId="0" borderId="49" applyNumberFormat="1" applyFont="1" applyFill="0" applyBorder="1" applyAlignment="1" applyProtection="0">
      <alignment vertical="bottom"/>
    </xf>
    <xf numFmtId="59" fontId="0" borderId="49" applyNumberFormat="1" applyFont="1" applyFill="0" applyBorder="1" applyAlignment="1" applyProtection="0">
      <alignment vertical="bottom"/>
    </xf>
    <xf numFmtId="10" fontId="0" borderId="49" applyNumberFormat="1" applyFont="1" applyFill="0" applyBorder="1" applyAlignment="1" applyProtection="0">
      <alignment vertical="bottom"/>
    </xf>
    <xf numFmtId="0" fontId="0" borderId="50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9" fontId="10" borderId="9" applyNumberFormat="1" applyFont="1" applyFill="0" applyBorder="1" applyAlignment="1" applyProtection="0">
      <alignment vertical="bottom"/>
    </xf>
    <xf numFmtId="2" fontId="0" borderId="9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59" fontId="0" borderId="28" applyNumberFormat="1" applyFont="1" applyFill="0" applyBorder="1" applyAlignment="1" applyProtection="0">
      <alignment vertical="bottom"/>
    </xf>
    <xf numFmtId="0" fontId="11" borderId="4" applyNumberFormat="0" applyFont="1" applyFill="0" applyBorder="1" applyAlignment="1" applyProtection="0">
      <alignment vertical="bottom"/>
    </xf>
    <xf numFmtId="49" fontId="11" borderId="51" applyNumberFormat="1" applyFont="1" applyFill="0" applyBorder="1" applyAlignment="1" applyProtection="0">
      <alignment vertical="bottom"/>
    </xf>
    <xf numFmtId="0" fontId="11" borderId="2" applyNumberFormat="0" applyFont="1" applyFill="0" applyBorder="1" applyAlignment="1" applyProtection="0">
      <alignment vertical="bottom"/>
    </xf>
    <xf numFmtId="2" fontId="11" borderId="2" applyNumberFormat="1" applyFont="1" applyFill="0" applyBorder="1" applyAlignment="1" applyProtection="0">
      <alignment vertical="bottom"/>
    </xf>
    <xf numFmtId="59" fontId="11" borderId="2" applyNumberFormat="1" applyFont="1" applyFill="0" applyBorder="1" applyAlignment="1" applyProtection="0">
      <alignment vertical="bottom"/>
    </xf>
    <xf numFmtId="10" fontId="11" borderId="2" applyNumberFormat="1" applyFont="1" applyFill="0" applyBorder="1" applyAlignment="1" applyProtection="0">
      <alignment vertical="bottom"/>
    </xf>
    <xf numFmtId="0" fontId="11" borderId="30" applyNumberFormat="0" applyFont="1" applyFill="0" applyBorder="1" applyAlignment="1" applyProtection="0">
      <alignment vertical="bottom"/>
    </xf>
    <xf numFmtId="59" fontId="12" borderId="14" applyNumberFormat="1" applyFont="1" applyFill="0" applyBorder="1" applyAlignment="1" applyProtection="0">
      <alignment vertical="bottom"/>
    </xf>
    <xf numFmtId="0" fontId="11" borderId="7" applyNumberFormat="0" applyFont="1" applyFill="0" applyBorder="1" applyAlignment="1" applyProtection="0">
      <alignment vertical="bottom"/>
    </xf>
    <xf numFmtId="0" fontId="11" borderId="3" applyNumberFormat="0" applyFont="1" applyFill="0" applyBorder="1" applyAlignment="1" applyProtection="0">
      <alignment vertical="bottom"/>
    </xf>
    <xf numFmtId="49" fontId="4" borderId="51" applyNumberFormat="1" applyFont="1" applyFill="0" applyBorder="1" applyAlignment="1" applyProtection="0">
      <alignment vertical="bottom"/>
    </xf>
    <xf numFmtId="9" fontId="10" borderId="2" applyNumberFormat="1" applyFont="1" applyFill="0" applyBorder="1" applyAlignment="1" applyProtection="0">
      <alignment vertical="bottom"/>
    </xf>
    <xf numFmtId="59" fontId="0" borderId="14" applyNumberFormat="1" applyFont="1" applyFill="0" applyBorder="1" applyAlignment="1" applyProtection="0">
      <alignment vertical="bottom"/>
    </xf>
    <xf numFmtId="49" fontId="3" borderId="51" applyNumberFormat="1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2" fontId="3" borderId="2" applyNumberFormat="1" applyFont="1" applyFill="0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0" fontId="11" borderId="51" applyNumberFormat="0" applyFont="1" applyFill="0" applyBorder="1" applyAlignment="1" applyProtection="0">
      <alignment vertical="bottom"/>
    </xf>
    <xf numFmtId="0" fontId="13" borderId="3" applyNumberFormat="0" applyFont="1" applyFill="0" applyBorder="1" applyAlignment="1" applyProtection="0">
      <alignment vertical="bottom"/>
    </xf>
    <xf numFmtId="49" fontId="14" borderId="51" applyNumberFormat="1" applyFont="1" applyFill="0" applyBorder="1" applyAlignment="1" applyProtection="0">
      <alignment vertical="bottom"/>
    </xf>
    <xf numFmtId="59" fontId="15" borderId="2" applyNumberFormat="1" applyFont="1" applyFill="0" applyBorder="1" applyAlignment="1" applyProtection="0">
      <alignment vertical="bottom"/>
    </xf>
    <xf numFmtId="10" fontId="3" borderId="2" applyNumberFormat="1" applyFont="1" applyFill="0" applyBorder="1" applyAlignment="1" applyProtection="0">
      <alignment vertical="bottom"/>
    </xf>
    <xf numFmtId="0" fontId="3" borderId="30" applyNumberFormat="0" applyFont="1" applyFill="0" applyBorder="1" applyAlignment="1" applyProtection="0">
      <alignment vertical="bottom"/>
    </xf>
    <xf numFmtId="59" fontId="11" borderId="14" applyNumberFormat="1" applyFont="1" applyFill="0" applyBorder="1" applyAlignment="1" applyProtection="0">
      <alignment vertical="bottom"/>
    </xf>
    <xf numFmtId="59" fontId="14" borderId="3" applyNumberFormat="1" applyFont="1" applyFill="0" applyBorder="1" applyAlignment="1" applyProtection="0">
      <alignment vertical="bottom"/>
    </xf>
    <xf numFmtId="61" fontId="3" borderId="3" applyNumberFormat="1" applyFont="1" applyFill="0" applyBorder="1" applyAlignment="1" applyProtection="0">
      <alignment vertical="bottom"/>
    </xf>
    <xf numFmtId="0" fontId="16" borderId="4" applyNumberFormat="0" applyFont="1" applyFill="0" applyBorder="1" applyAlignment="1" applyProtection="0">
      <alignment vertical="bottom"/>
    </xf>
    <xf numFmtId="49" fontId="16" borderId="51" applyNumberFormat="1" applyFont="1" applyFill="0" applyBorder="1" applyAlignment="1" applyProtection="0">
      <alignment vertical="bottom"/>
    </xf>
    <xf numFmtId="0" fontId="16" borderId="2" applyNumberFormat="0" applyFont="1" applyFill="0" applyBorder="1" applyAlignment="1" applyProtection="0">
      <alignment vertical="bottom"/>
    </xf>
    <xf numFmtId="2" fontId="16" borderId="2" applyNumberFormat="1" applyFont="1" applyFill="0" applyBorder="1" applyAlignment="1" applyProtection="0">
      <alignment vertical="bottom"/>
    </xf>
    <xf numFmtId="59" fontId="17" borderId="2" applyNumberFormat="1" applyFont="1" applyFill="0" applyBorder="1" applyAlignment="1" applyProtection="0">
      <alignment vertical="bottom"/>
    </xf>
    <xf numFmtId="10" fontId="16" borderId="2" applyNumberFormat="1" applyFont="1" applyFill="0" applyBorder="1" applyAlignment="1" applyProtection="0">
      <alignment vertical="bottom"/>
    </xf>
    <xf numFmtId="59" fontId="16" borderId="2" applyNumberFormat="1" applyFont="1" applyFill="0" applyBorder="1" applyAlignment="1" applyProtection="0">
      <alignment vertical="bottom"/>
    </xf>
    <xf numFmtId="0" fontId="16" borderId="30" applyNumberFormat="0" applyFont="1" applyFill="0" applyBorder="1" applyAlignment="1" applyProtection="0">
      <alignment vertical="bottom"/>
    </xf>
    <xf numFmtId="59" fontId="18" borderId="14" applyNumberFormat="1" applyFont="1" applyFill="0" applyBorder="1" applyAlignment="1" applyProtection="0">
      <alignment vertical="bottom"/>
    </xf>
    <xf numFmtId="0" fontId="16" borderId="7" applyNumberFormat="0" applyFont="1" applyFill="0" applyBorder="1" applyAlignment="1" applyProtection="0">
      <alignment vertical="bottom"/>
    </xf>
    <xf numFmtId="0" fontId="16" borderId="3" applyNumberFormat="0" applyFont="1" applyFill="0" applyBorder="1" applyAlignment="1" applyProtection="0">
      <alignment vertical="bottom"/>
    </xf>
    <xf numFmtId="61" fontId="16" borderId="3" applyNumberFormat="1" applyFont="1" applyFill="0" applyBorder="1" applyAlignment="1" applyProtection="0">
      <alignment vertical="bottom"/>
    </xf>
    <xf numFmtId="2" fontId="0" borderId="5" applyNumberFormat="1" applyFont="1" applyFill="0" applyBorder="1" applyAlignment="1" applyProtection="0">
      <alignment vertical="bottom"/>
    </xf>
    <xf numFmtId="10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2e75b5"/>
      <rgbColor rgb="ff6fa8dc"/>
      <rgbColor rgb="ff9fc5e8"/>
      <rgbColor rgb="ff44546a"/>
      <rgbColor rgb="ffc55a11"/>
      <rgbColor rgb="ffed7d31"/>
      <rgbColor rgb="ff75707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2"/>
  <sheetViews>
    <sheetView workbookViewId="0" showGridLines="0" defaultGridColor="1"/>
  </sheetViews>
  <sheetFormatPr defaultColWidth="14.5" defaultRowHeight="15" customHeight="1" outlineLevelRow="0" outlineLevelCol="0"/>
  <cols>
    <col min="1" max="1" width="6.17188" style="1" customWidth="1"/>
    <col min="2" max="2" width="50.1719" style="1" customWidth="1"/>
    <col min="3" max="4" width="10" style="1" customWidth="1"/>
    <col min="5" max="5" width="31.1719" style="1" customWidth="1"/>
    <col min="6" max="6" width="5.35156" style="1" customWidth="1"/>
    <col min="7" max="7" width="10.6719" style="1" customWidth="1"/>
    <col min="8" max="8" width="15" style="1" customWidth="1"/>
    <col min="9" max="26" width="10.6719" style="1" customWidth="1"/>
    <col min="27" max="16384" width="14.5" style="1" customWidth="1"/>
  </cols>
  <sheetData>
    <row r="1" ht="14.25" customHeight="1">
      <c r="A1" s="2"/>
      <c r="B1" s="3"/>
      <c r="C1" s="4"/>
      <c r="D1" s="3"/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t="s" s="7">
        <v>0</v>
      </c>
      <c r="C2" s="8"/>
      <c r="D2" s="9"/>
      <c r="E2" s="10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6"/>
      <c r="B3" t="s" s="13">
        <v>1</v>
      </c>
      <c r="C3" s="14"/>
      <c r="D3" s="15"/>
      <c r="E3" s="1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7"/>
      <c r="B4" s="18"/>
      <c r="C4" s="19"/>
      <c r="D4" s="18"/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7"/>
      <c r="B5" s="20"/>
      <c r="C5" s="21"/>
      <c r="D5" s="20"/>
      <c r="E5" s="20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3"/>
      <c r="B6" t="s" s="24">
        <v>2</v>
      </c>
      <c r="C6" t="s" s="25">
        <v>3</v>
      </c>
      <c r="D6" t="s" s="26">
        <v>4</v>
      </c>
      <c r="E6" t="s" s="27">
        <v>5</v>
      </c>
      <c r="F6" s="28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29"/>
      <c r="B7" s="30"/>
      <c r="C7" s="31"/>
      <c r="D7" s="32"/>
      <c r="E7" s="33"/>
      <c r="F7" s="3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9"/>
      <c r="B8" t="s" s="35">
        <v>6</v>
      </c>
      <c r="C8" s="36"/>
      <c r="D8" s="37"/>
      <c r="E8" s="38"/>
      <c r="F8" s="3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9"/>
      <c r="B9" t="s" s="39">
        <v>7</v>
      </c>
      <c r="C9" s="40">
        <v>250</v>
      </c>
      <c r="D9" t="s" s="41">
        <v>8</v>
      </c>
      <c r="E9" t="s" s="42">
        <v>9</v>
      </c>
      <c r="F9" s="17"/>
      <c r="G9" s="5"/>
      <c r="H9" s="5"/>
      <c r="I9" s="4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29"/>
      <c r="B10" s="44"/>
      <c r="C10" s="40">
        <v>125</v>
      </c>
      <c r="D10" t="s" s="41">
        <v>10</v>
      </c>
      <c r="E10" t="s" s="42">
        <v>11</v>
      </c>
      <c r="F10" s="17"/>
      <c r="G10" s="4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9"/>
      <c r="B11" t="s" s="39">
        <v>12</v>
      </c>
      <c r="C11" s="40">
        <v>300</v>
      </c>
      <c r="D11" t="s" s="41">
        <v>8</v>
      </c>
      <c r="E11" t="s" s="42">
        <v>11</v>
      </c>
      <c r="F11" s="17"/>
      <c r="G11" s="4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9"/>
      <c r="B12" t="s" s="46">
        <v>13</v>
      </c>
      <c r="C12" s="47">
        <v>0.3649</v>
      </c>
      <c r="D12" s="48"/>
      <c r="E12" s="29"/>
      <c r="F12" s="1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29"/>
      <c r="B13" s="49"/>
      <c r="C13" s="40"/>
      <c r="D13" s="48"/>
      <c r="E13" s="29"/>
      <c r="F13" s="1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29"/>
      <c r="B14" t="s" s="35">
        <v>14</v>
      </c>
      <c r="C14" s="40"/>
      <c r="D14" s="48"/>
      <c r="E14" s="50"/>
      <c r="F14" s="1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9"/>
      <c r="B15" t="s" s="39">
        <v>15</v>
      </c>
      <c r="C15" s="40">
        <v>200</v>
      </c>
      <c r="D15" s="48"/>
      <c r="E15" t="s" s="51">
        <v>16</v>
      </c>
      <c r="F15" s="1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9"/>
      <c r="B16" t="s" s="39">
        <v>17</v>
      </c>
      <c r="C16" s="40">
        <v>40</v>
      </c>
      <c r="D16" t="s" s="41">
        <v>18</v>
      </c>
      <c r="E16" t="s" s="52">
        <v>19</v>
      </c>
      <c r="F16" s="1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29"/>
      <c r="B17" t="s" s="39">
        <v>20</v>
      </c>
      <c r="C17" s="40">
        <v>50</v>
      </c>
      <c r="D17" t="s" s="41">
        <v>21</v>
      </c>
      <c r="E17" s="53"/>
      <c r="F17" s="1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29"/>
      <c r="B18" t="s" s="39">
        <v>22</v>
      </c>
      <c r="C18" s="40">
        <v>20</v>
      </c>
      <c r="D18" s="48"/>
      <c r="E18" s="29"/>
      <c r="F18" s="1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9"/>
      <c r="B19" t="s" s="46">
        <v>23</v>
      </c>
      <c r="C19" s="40"/>
      <c r="D19" t="s" s="41">
        <v>18</v>
      </c>
      <c r="E19" s="29"/>
      <c r="F19" s="1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9"/>
      <c r="B20" t="s" s="35">
        <v>24</v>
      </c>
      <c r="C20" s="40"/>
      <c r="D20" s="48"/>
      <c r="E20" s="29"/>
      <c r="F20" s="1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9"/>
      <c r="B21" t="s" s="39">
        <v>25</v>
      </c>
      <c r="C21" s="40">
        <v>50</v>
      </c>
      <c r="D21" t="s" s="41">
        <v>18</v>
      </c>
      <c r="E21" t="s" s="54">
        <v>26</v>
      </c>
      <c r="F21" s="1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9"/>
      <c r="B22" t="s" s="39">
        <v>27</v>
      </c>
      <c r="C22" s="40">
        <v>60</v>
      </c>
      <c r="D22" t="s" s="41">
        <v>18</v>
      </c>
      <c r="E22" t="s" s="52">
        <v>28</v>
      </c>
      <c r="F22" s="1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29"/>
      <c r="B23" t="s" s="39">
        <v>29</v>
      </c>
      <c r="C23" s="40">
        <v>150</v>
      </c>
      <c r="D23" s="48"/>
      <c r="E23" s="53"/>
      <c r="F23" s="1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29"/>
      <c r="B24" s="44"/>
      <c r="C24" s="40"/>
      <c r="D24" s="48"/>
      <c r="E24" s="29"/>
      <c r="F24" s="1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9"/>
      <c r="B25" t="s" s="35">
        <v>30</v>
      </c>
      <c r="C25" s="40"/>
      <c r="D25" s="48"/>
      <c r="E25" s="29"/>
      <c r="F25" s="1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9"/>
      <c r="B26" t="s" s="39">
        <v>31</v>
      </c>
      <c r="C26" s="40">
        <v>0</v>
      </c>
      <c r="D26" t="s" s="41">
        <v>8</v>
      </c>
      <c r="E26" s="29"/>
      <c r="F26" s="1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29"/>
      <c r="B27" t="s" s="39">
        <v>32</v>
      </c>
      <c r="C27" s="40">
        <v>70</v>
      </c>
      <c r="D27" t="s" s="41">
        <v>8</v>
      </c>
      <c r="E27" s="29"/>
      <c r="F27" s="1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9"/>
      <c r="B28" t="s" s="39">
        <v>33</v>
      </c>
      <c r="C28" s="40">
        <v>80</v>
      </c>
      <c r="D28" t="s" s="41">
        <v>8</v>
      </c>
      <c r="E28" s="29"/>
      <c r="F28" s="1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29"/>
      <c r="B29" s="49"/>
      <c r="C29" s="55"/>
      <c r="D29" s="48"/>
      <c r="E29" s="29"/>
      <c r="F29" s="1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3"/>
      <c r="B30" t="s" s="56">
        <v>34</v>
      </c>
      <c r="C30" s="57"/>
      <c r="D30" s="58"/>
      <c r="E30" s="59"/>
      <c r="F30" s="60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5"/>
      <c r="B31" s="18"/>
      <c r="C31" s="19"/>
      <c r="D31" s="18"/>
      <c r="E31" s="1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4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4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4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4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4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4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4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4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4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4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4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4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4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4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4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4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4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4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4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4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4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4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4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4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4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4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4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4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4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4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4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4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4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4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4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4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4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4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4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4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4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4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4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4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4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4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4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4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4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4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4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4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4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4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4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4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4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4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4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4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4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4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4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4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4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4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4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4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4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4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4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4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4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4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4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4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4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4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4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4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4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4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4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4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4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4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4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4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4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4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4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4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4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4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4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4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4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4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4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4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4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4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4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4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4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4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4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4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4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4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4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4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4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4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4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4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4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4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4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4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4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4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4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4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4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4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4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4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4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4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4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4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4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4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4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4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4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4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4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4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4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4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4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4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4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4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4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4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4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4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4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4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4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4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4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4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4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4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4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4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4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4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4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4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4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4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4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4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4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4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4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4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4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4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4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4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4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4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4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4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4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4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4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4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4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4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4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4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4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4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4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4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4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4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4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4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4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4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4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4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4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4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4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4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4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4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4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4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4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4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4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4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4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4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4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4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4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4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4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4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4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4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4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4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4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4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4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4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4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4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4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4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4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4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4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4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4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4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4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4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4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4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4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4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4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4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4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4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4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4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4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4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4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4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4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4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4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4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4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4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4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4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4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4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4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4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4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4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4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4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4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4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4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4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4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4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4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4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4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4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4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4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4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4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4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4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4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4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4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4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4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4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4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4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4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4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4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4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4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4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4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4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4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4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4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4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4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4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4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4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4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4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4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4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4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4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4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4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4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4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4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4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4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4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4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4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4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4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4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4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4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4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4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4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4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4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4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4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4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4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4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4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4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4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4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4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4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4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4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4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4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4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4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4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4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4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4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4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4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4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4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4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4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4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4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4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4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4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4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4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4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4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4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4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4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4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4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4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4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4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4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4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4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4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4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4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4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4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4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4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4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4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4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4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4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4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4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4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4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4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4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4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4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4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4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4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4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4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4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4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4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4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4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4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4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4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4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4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4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4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4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4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4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4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4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4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4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4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4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4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4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4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4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4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4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4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4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4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4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4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4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4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4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4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4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4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4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4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4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4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4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4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4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4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4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4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4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4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4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4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4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4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4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4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4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4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4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4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4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4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4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4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4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4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4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4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4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4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4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4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4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4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4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4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4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4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4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4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4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4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4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4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4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4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4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4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4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4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4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4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4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4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4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4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4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4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4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4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4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4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4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4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4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4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4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4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4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4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4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4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4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4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4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4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4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4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4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4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4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4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4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4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4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4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4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4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4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4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4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4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4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4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4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4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4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4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4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4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4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4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4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4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4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4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4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4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4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4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4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4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4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4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4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4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4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4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4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4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4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4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4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4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4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4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4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4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4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4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4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4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4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4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4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4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4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4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4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4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4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4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4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4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4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4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4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4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4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4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4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4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4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4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4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4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4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4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4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4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4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4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4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4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4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4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4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4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4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4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4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4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4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4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4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4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4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4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4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4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4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4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4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4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4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4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4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4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4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4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4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4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4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4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4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4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4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4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4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4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4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4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4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4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4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4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4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4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4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4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4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4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4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4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4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4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4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4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4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4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4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4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4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4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4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4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4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4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4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4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4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4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4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4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4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4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4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4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4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4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4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4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4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4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4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4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4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4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4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4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4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4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4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4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4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4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4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4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4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4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4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4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4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4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4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4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4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4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4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4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4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4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4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4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4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4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4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4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4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4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4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4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4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4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4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4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4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4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4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4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4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4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4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4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4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4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4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4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4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4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4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4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4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4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4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4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4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4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4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4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4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4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4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4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4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4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4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4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4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4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4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4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4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4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4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4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4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4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4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4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4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4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4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4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4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4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4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4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4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4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4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4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4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4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4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4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4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4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4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4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4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4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4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4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4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4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4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4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4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4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4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4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4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4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4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4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4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4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4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4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4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4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4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4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4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4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4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4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4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4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4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4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4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4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4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4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4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4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4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4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4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4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4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4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4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4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4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4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4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4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4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4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4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4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4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4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4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4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4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4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4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4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4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4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4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4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4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4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4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4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4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4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4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4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4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4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4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4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4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4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4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4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4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4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4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4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4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4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4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4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4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4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4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4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4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4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4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4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4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4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4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4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4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4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4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4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4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4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4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4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4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4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4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4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4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4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4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4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4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4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4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4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4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4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4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4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4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4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4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4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4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4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4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4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4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4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4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4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4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4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4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4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4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4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4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4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4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4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4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4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4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4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4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4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4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4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4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4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4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4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4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4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4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4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4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4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4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4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4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4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4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5"/>
      <c r="C1001" s="4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5"/>
      <c r="B1002" s="5"/>
      <c r="C1002" s="4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1" width="5.5" style="61" customWidth="1"/>
    <col min="2" max="2" width="50.1719" style="61" customWidth="1"/>
    <col min="3" max="3" width="8.17188" style="61" customWidth="1"/>
    <col min="4" max="4" width="6.17188" style="61" customWidth="1"/>
    <col min="5" max="5" width="9.67188" style="61" customWidth="1"/>
    <col min="6" max="6" width="15.8516" style="61" customWidth="1"/>
    <col min="7" max="7" width="17.1719" style="61" customWidth="1"/>
    <col min="8" max="8" width="11" style="61" customWidth="1"/>
    <col min="9" max="9" width="7.17188" style="61" customWidth="1"/>
    <col min="10" max="10" width="13.8516" style="61" customWidth="1"/>
    <col min="11" max="11" width="5.35156" style="61" customWidth="1"/>
    <col min="12" max="12" width="22.8516" style="61" customWidth="1"/>
    <col min="13" max="13" width="3.35156" style="61" customWidth="1"/>
    <col min="14" max="14" width="12" style="61" customWidth="1"/>
    <col min="15" max="26" width="10.6719" style="61" customWidth="1"/>
    <col min="27" max="16384" width="14.5" style="61" customWidth="1"/>
  </cols>
  <sheetData>
    <row r="1" ht="14.25" customHeight="1">
      <c r="A1" s="2"/>
      <c r="B1" s="3"/>
      <c r="C1" s="3"/>
      <c r="D1" s="3"/>
      <c r="E1" s="62"/>
      <c r="F1" s="4"/>
      <c r="G1" s="63"/>
      <c r="H1" s="4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t="s" s="7">
        <v>35</v>
      </c>
      <c r="C2" s="9"/>
      <c r="D2" s="9"/>
      <c r="E2" s="64"/>
      <c r="F2" s="8"/>
      <c r="G2" s="65"/>
      <c r="H2" s="8"/>
      <c r="I2" s="9"/>
      <c r="J2" s="10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6"/>
      <c r="B3" t="s" s="66">
        <v>36</v>
      </c>
      <c r="C3" s="67"/>
      <c r="D3" s="67"/>
      <c r="E3" s="68"/>
      <c r="F3" t="s" s="69">
        <v>37</v>
      </c>
      <c r="G3" s="70"/>
      <c r="H3" s="14"/>
      <c r="I3" s="15"/>
      <c r="J3" s="16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1"/>
      <c r="B4" t="s" s="71">
        <v>38</v>
      </c>
      <c r="C4" s="9"/>
      <c r="D4" s="9"/>
      <c r="E4" s="64"/>
      <c r="F4" s="8"/>
      <c r="G4" s="65"/>
      <c r="H4" s="8"/>
      <c r="I4" s="9"/>
      <c r="J4" s="9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11"/>
      <c r="B5" t="s" s="72">
        <v>39</v>
      </c>
      <c r="C5" s="12"/>
      <c r="D5" s="12"/>
      <c r="E5" s="73"/>
      <c r="F5" s="74"/>
      <c r="G5" s="75"/>
      <c r="H5" s="74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11"/>
      <c r="B6" t="s" s="72">
        <v>40</v>
      </c>
      <c r="C6" s="12"/>
      <c r="D6" s="12"/>
      <c r="E6" s="73"/>
      <c r="F6" s="74"/>
      <c r="G6" s="75"/>
      <c r="H6" s="7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11"/>
      <c r="B7" t="s" s="72">
        <v>41</v>
      </c>
      <c r="C7" s="12"/>
      <c r="D7" s="12"/>
      <c r="E7" s="73"/>
      <c r="F7" s="74"/>
      <c r="G7" s="75"/>
      <c r="H7" s="7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11"/>
      <c r="B8" s="12"/>
      <c r="C8" s="12"/>
      <c r="D8" s="12"/>
      <c r="E8" s="73"/>
      <c r="F8" s="74"/>
      <c r="G8" s="75"/>
      <c r="H8" s="7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17"/>
      <c r="B9" s="5"/>
      <c r="C9" s="5"/>
      <c r="D9" s="5"/>
      <c r="E9" s="76"/>
      <c r="F9" s="45"/>
      <c r="G9" s="77"/>
      <c r="H9" s="4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7"/>
      <c r="B10" s="20"/>
      <c r="C10" s="20"/>
      <c r="D10" s="20"/>
      <c r="E10" s="78"/>
      <c r="F10" s="79"/>
      <c r="G10" s="80"/>
      <c r="H10" s="21"/>
      <c r="I10" s="20"/>
      <c r="J10" s="20"/>
      <c r="K10" s="2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4.95" customHeight="1">
      <c r="A11" s="23"/>
      <c r="B11" t="s" s="24">
        <v>2</v>
      </c>
      <c r="C11" t="s" s="25">
        <v>42</v>
      </c>
      <c r="D11" t="s" s="25">
        <v>43</v>
      </c>
      <c r="E11" t="s" s="25">
        <v>44</v>
      </c>
      <c r="F11" s="81"/>
      <c r="G11" t="s" s="82">
        <v>45</v>
      </c>
      <c r="H11" s="83"/>
      <c r="I11" s="84"/>
      <c r="J11" s="85"/>
      <c r="K11" s="2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29"/>
      <c r="B12" s="30"/>
      <c r="C12" s="86"/>
      <c r="D12" s="86"/>
      <c r="E12" s="87"/>
      <c r="F12" s="88"/>
      <c r="G12" s="89"/>
      <c r="H12" s="90"/>
      <c r="I12" s="91"/>
      <c r="J12" s="33"/>
      <c r="K12" s="3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29"/>
      <c r="B13" t="s" s="35">
        <v>6</v>
      </c>
      <c r="C13" s="92"/>
      <c r="D13" s="92"/>
      <c r="E13" s="93"/>
      <c r="F13" s="94"/>
      <c r="G13" s="95"/>
      <c r="H13" s="96"/>
      <c r="I13" s="97"/>
      <c r="J13" s="38"/>
      <c r="K13" s="3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29"/>
      <c r="B14" t="s" s="39">
        <v>46</v>
      </c>
      <c r="C14" s="98">
        <v>3</v>
      </c>
      <c r="D14" s="98">
        <v>2</v>
      </c>
      <c r="E14" s="93">
        <v>150</v>
      </c>
      <c r="F14" s="99">
        <f>C14*D14*E14</f>
        <v>900</v>
      </c>
      <c r="G14" s="100">
        <f>F14/$F$43</f>
        <v>0.223805828052966</v>
      </c>
      <c r="H14" s="101"/>
      <c r="I14" s="102"/>
      <c r="J14" s="29"/>
      <c r="K14" s="17"/>
      <c r="L14" s="5"/>
      <c r="M14" s="5"/>
      <c r="N14" s="4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9"/>
      <c r="B15" t="s" s="39">
        <v>12</v>
      </c>
      <c r="C15" s="98">
        <v>3</v>
      </c>
      <c r="D15" s="98">
        <v>1</v>
      </c>
      <c r="E15" s="93">
        <v>300</v>
      </c>
      <c r="F15" s="99">
        <f>C15*D15*E15</f>
        <v>900</v>
      </c>
      <c r="G15" s="100">
        <f>F15/$F$43</f>
        <v>0.223805828052966</v>
      </c>
      <c r="H15" s="101"/>
      <c r="I15" s="102"/>
      <c r="J15" s="29"/>
      <c r="K15" s="17"/>
      <c r="L15" s="4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9"/>
      <c r="B16" t="s" s="103">
        <v>13</v>
      </c>
      <c r="C16" s="98">
        <v>1</v>
      </c>
      <c r="D16" s="104">
        <f>'CACHÉ Conceptos'!C12</f>
        <v>0.3649</v>
      </c>
      <c r="E16" s="93">
        <f>SUM(F14,F15)</f>
        <v>1800</v>
      </c>
      <c r="F16" s="99">
        <f>C16*D16*E16</f>
        <v>656.8200000000001</v>
      </c>
      <c r="G16" s="100">
        <f>F16/$F$43</f>
        <v>0.163333493313055</v>
      </c>
      <c r="H16" s="101"/>
      <c r="I16" s="102"/>
      <c r="J16" s="29"/>
      <c r="K16" s="1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29"/>
      <c r="B17" t="s" s="103">
        <v>47</v>
      </c>
      <c r="C17" s="92"/>
      <c r="D17" s="92"/>
      <c r="E17" s="93"/>
      <c r="F17" s="99"/>
      <c r="G17" s="100"/>
      <c r="H17" s="101">
        <f>SUM(F14:F16)</f>
        <v>2456.82</v>
      </c>
      <c r="I17" s="105">
        <f>SUM(G14:G16)</f>
        <v>0.610945149418987</v>
      </c>
      <c r="J17" s="29"/>
      <c r="K17" s="1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29"/>
      <c r="B18" s="49"/>
      <c r="C18" s="92"/>
      <c r="D18" s="92"/>
      <c r="E18" s="93"/>
      <c r="F18" s="99"/>
      <c r="G18" s="100"/>
      <c r="H18" s="101"/>
      <c r="I18" s="102"/>
      <c r="J18" s="29"/>
      <c r="K18" s="1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9"/>
      <c r="B19" t="s" s="35">
        <v>14</v>
      </c>
      <c r="C19" s="92"/>
      <c r="D19" s="92"/>
      <c r="E19" s="93"/>
      <c r="F19" s="99"/>
      <c r="G19" s="100"/>
      <c r="H19" s="101"/>
      <c r="I19" s="102"/>
      <c r="J19" s="29"/>
      <c r="K19" s="1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9"/>
      <c r="B20" t="s" s="39">
        <v>48</v>
      </c>
      <c r="C20" s="92"/>
      <c r="D20" s="92"/>
      <c r="E20" s="93"/>
      <c r="F20" s="99">
        <v>0</v>
      </c>
      <c r="G20" s="100">
        <f>F20/$F$43</f>
        <v>0</v>
      </c>
      <c r="H20" s="101"/>
      <c r="I20" s="106"/>
      <c r="J20" s="29"/>
      <c r="K20" s="1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9"/>
      <c r="B21" t="s" s="39">
        <v>49</v>
      </c>
      <c r="C21" s="98">
        <v>1</v>
      </c>
      <c r="D21" s="98">
        <v>2</v>
      </c>
      <c r="E21" s="93">
        <v>50</v>
      </c>
      <c r="F21" s="99">
        <f>C21*D21*E21</f>
        <v>100</v>
      </c>
      <c r="G21" s="100">
        <f>F21/$F$43</f>
        <v>0.0248673142281074</v>
      </c>
      <c r="H21" s="101"/>
      <c r="I21" s="102"/>
      <c r="J21" s="29"/>
      <c r="K21" s="1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9"/>
      <c r="B22" t="s" s="39">
        <v>22</v>
      </c>
      <c r="C22" s="98">
        <v>1</v>
      </c>
      <c r="D22" s="98">
        <v>1</v>
      </c>
      <c r="E22" s="93">
        <v>50</v>
      </c>
      <c r="F22" s="99">
        <f>C22*D22*E22</f>
        <v>50</v>
      </c>
      <c r="G22" s="100">
        <f>F22/$F$43</f>
        <v>0.0124336571140537</v>
      </c>
      <c r="H22" s="101"/>
      <c r="I22" s="102"/>
      <c r="J22" s="29"/>
      <c r="K22" s="1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29"/>
      <c r="B23" t="s" s="103">
        <v>50</v>
      </c>
      <c r="C23" s="92"/>
      <c r="D23" s="92"/>
      <c r="E23" s="93"/>
      <c r="F23" s="99"/>
      <c r="G23" s="100"/>
      <c r="H23" s="101">
        <f>SUM(F20:F22)</f>
        <v>150</v>
      </c>
      <c r="I23" s="105">
        <f>SUM(G20:G22)</f>
        <v>0.0373009713421611</v>
      </c>
      <c r="J23" s="29"/>
      <c r="K23" s="1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29"/>
      <c r="B24" s="49"/>
      <c r="C24" s="92"/>
      <c r="D24" s="92"/>
      <c r="E24" s="93"/>
      <c r="F24" s="99"/>
      <c r="G24" s="100"/>
      <c r="H24" s="101"/>
      <c r="I24" s="102"/>
      <c r="J24" s="29"/>
      <c r="K24" s="1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9"/>
      <c r="B25" t="s" s="35">
        <v>24</v>
      </c>
      <c r="C25" s="92"/>
      <c r="D25" s="92"/>
      <c r="E25" s="93"/>
      <c r="F25" s="99"/>
      <c r="G25" s="100"/>
      <c r="H25" s="101"/>
      <c r="I25" s="102"/>
      <c r="J25" s="29"/>
      <c r="K25" s="1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9"/>
      <c r="B26" t="s" s="39">
        <v>25</v>
      </c>
      <c r="C26" s="98">
        <v>3</v>
      </c>
      <c r="D26" s="98">
        <v>2</v>
      </c>
      <c r="E26" s="93">
        <v>50</v>
      </c>
      <c r="F26" s="99">
        <f>C26*D26*E26</f>
        <v>300</v>
      </c>
      <c r="G26" s="100">
        <f>F26/$F$43</f>
        <v>0.0746019426843221</v>
      </c>
      <c r="H26" s="101"/>
      <c r="I26" s="102"/>
      <c r="J26" s="29"/>
      <c r="K26" s="1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29"/>
      <c r="B27" t="s" s="39">
        <v>27</v>
      </c>
      <c r="C27" s="98">
        <v>2</v>
      </c>
      <c r="D27" s="98">
        <v>3</v>
      </c>
      <c r="E27" s="93">
        <f>'CACHÉ Conceptos'!C22</f>
        <v>60</v>
      </c>
      <c r="F27" s="99">
        <f>C27*D27*E27</f>
        <v>360</v>
      </c>
      <c r="G27" s="100">
        <f>F27/$F$43</f>
        <v>0.08952233122118659</v>
      </c>
      <c r="H27" s="101"/>
      <c r="I27" s="102"/>
      <c r="J27" s="29"/>
      <c r="K27" s="1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9"/>
      <c r="B28" t="s" s="39">
        <v>51</v>
      </c>
      <c r="C28" s="98">
        <v>3</v>
      </c>
      <c r="D28" s="98">
        <v>1</v>
      </c>
      <c r="E28" s="93">
        <v>50</v>
      </c>
      <c r="F28" s="99">
        <f>C28*D28*E28</f>
        <v>150</v>
      </c>
      <c r="G28" s="100">
        <f>F28/$F$43</f>
        <v>0.0373009713421611</v>
      </c>
      <c r="H28" s="101"/>
      <c r="I28" s="102"/>
      <c r="J28" s="29"/>
      <c r="K28" s="1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29"/>
      <c r="B29" t="s" s="103">
        <v>52</v>
      </c>
      <c r="C29" s="92"/>
      <c r="D29" s="92"/>
      <c r="E29" s="93"/>
      <c r="F29" s="99"/>
      <c r="G29" s="100"/>
      <c r="H29" s="101">
        <f>SUM(F26:F28)</f>
        <v>810</v>
      </c>
      <c r="I29" s="105">
        <f>SUM(G26:G28)</f>
        <v>0.20142524524767</v>
      </c>
      <c r="J29" s="29"/>
      <c r="K29" s="1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9"/>
      <c r="B30" s="44"/>
      <c r="C30" s="92"/>
      <c r="D30" s="92"/>
      <c r="E30" s="93"/>
      <c r="F30" s="99"/>
      <c r="G30" s="100"/>
      <c r="H30" s="101"/>
      <c r="I30" s="102"/>
      <c r="J30" s="29"/>
      <c r="K30" s="1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29"/>
      <c r="B31" t="s" s="35">
        <v>30</v>
      </c>
      <c r="C31" s="92"/>
      <c r="D31" s="92"/>
      <c r="E31" s="93"/>
      <c r="F31" s="99"/>
      <c r="G31" s="100"/>
      <c r="H31" s="101"/>
      <c r="I31" s="102"/>
      <c r="J31" s="29"/>
      <c r="K31" s="1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9"/>
      <c r="B32" t="s" s="39">
        <v>53</v>
      </c>
      <c r="C32" t="s" s="107">
        <v>54</v>
      </c>
      <c r="D32" t="s" s="107">
        <v>54</v>
      </c>
      <c r="E32" t="s" s="107">
        <v>54</v>
      </c>
      <c r="F32" t="s" s="108">
        <v>54</v>
      </c>
      <c r="G32" s="100"/>
      <c r="H32" s="101"/>
      <c r="I32" s="102"/>
      <c r="J32" s="29"/>
      <c r="K32" s="1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29"/>
      <c r="B33" t="s" s="39">
        <v>32</v>
      </c>
      <c r="C33" s="98">
        <v>1</v>
      </c>
      <c r="D33" s="98">
        <v>1</v>
      </c>
      <c r="E33" s="93">
        <v>0</v>
      </c>
      <c r="F33" s="99">
        <f>C33*D33*E33</f>
        <v>0</v>
      </c>
      <c r="G33" s="100">
        <f>F33/$F$43</f>
        <v>0</v>
      </c>
      <c r="H33" s="101"/>
      <c r="I33" s="102"/>
      <c r="J33" s="29"/>
      <c r="K33" s="1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29"/>
      <c r="B34" t="s" s="39">
        <v>33</v>
      </c>
      <c r="C34" s="98">
        <v>1</v>
      </c>
      <c r="D34" s="98">
        <v>1</v>
      </c>
      <c r="E34" s="93">
        <v>80</v>
      </c>
      <c r="F34" s="99">
        <f>C34*D34*E34</f>
        <v>80</v>
      </c>
      <c r="G34" s="100">
        <f>F34/$F$43</f>
        <v>0.0198938513824859</v>
      </c>
      <c r="H34" s="101"/>
      <c r="I34" s="102"/>
      <c r="J34" s="29"/>
      <c r="K34" s="1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29"/>
      <c r="B35" t="s" s="103">
        <v>55</v>
      </c>
      <c r="C35" s="109"/>
      <c r="D35" s="109"/>
      <c r="E35" s="110"/>
      <c r="F35" s="99"/>
      <c r="G35" s="100"/>
      <c r="H35" s="101">
        <f>SUM(F33:F34)</f>
        <v>80</v>
      </c>
      <c r="I35" s="105">
        <f>SUM(G33:G34)</f>
        <v>0.0198938513824859</v>
      </c>
      <c r="J35" s="29"/>
      <c r="K35" s="1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29"/>
      <c r="B36" s="49"/>
      <c r="C36" s="109"/>
      <c r="D36" s="109"/>
      <c r="E36" s="110"/>
      <c r="F36" s="99"/>
      <c r="G36" s="100"/>
      <c r="H36" s="101"/>
      <c r="I36" s="102"/>
      <c r="J36" s="29"/>
      <c r="K36" s="1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23"/>
      <c r="B37" t="s" s="111">
        <v>56</v>
      </c>
      <c r="C37" s="112"/>
      <c r="D37" s="112"/>
      <c r="E37" s="113"/>
      <c r="F37" s="114">
        <f>SUM(F14:F18)</f>
        <v>2456.82</v>
      </c>
      <c r="G37" s="115">
        <f>F37/$F$43</f>
        <v>0.610945149418988</v>
      </c>
      <c r="H37" s="116">
        <f>SUM(H14:H35)</f>
        <v>3496.82</v>
      </c>
      <c r="I37" s="117">
        <f>SUM(I14:I35)</f>
        <v>0.869565217391304</v>
      </c>
      <c r="J37" s="118"/>
      <c r="K37" s="60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23"/>
      <c r="B38" t="s" s="119">
        <v>57</v>
      </c>
      <c r="C38" s="120"/>
      <c r="D38" s="120"/>
      <c r="E38" s="121"/>
      <c r="F38" s="122">
        <f>SUM(F21:F34)</f>
        <v>1040</v>
      </c>
      <c r="G38" s="123"/>
      <c r="H38" s="122"/>
      <c r="I38" s="124"/>
      <c r="J38" s="125"/>
      <c r="K38" s="60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126"/>
      <c r="B39" s="127"/>
      <c r="C39" s="128"/>
      <c r="D39" s="128"/>
      <c r="E39" s="129"/>
      <c r="F39" s="130"/>
      <c r="G39" s="131"/>
      <c r="H39" s="130"/>
      <c r="I39" s="132"/>
      <c r="J39" s="133"/>
      <c r="K39" s="134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ht="14.25" customHeight="1">
      <c r="A40" s="29"/>
      <c r="B40" t="s" s="136">
        <v>58</v>
      </c>
      <c r="C40" s="137"/>
      <c r="D40" s="137"/>
      <c r="E40" s="138"/>
      <c r="F40" s="139">
        <f>F37+F38</f>
        <v>3496.82</v>
      </c>
      <c r="G40" s="140">
        <f>F40/$F$43</f>
        <v>0.869565217391304</v>
      </c>
      <c r="H40" s="141"/>
      <c r="I40" s="142"/>
      <c r="J40" s="143"/>
      <c r="K40" s="1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29"/>
      <c r="B41" t="s" s="144">
        <v>59</v>
      </c>
      <c r="C41" s="145"/>
      <c r="D41" s="145">
        <v>0.15</v>
      </c>
      <c r="E41" s="146"/>
      <c r="F41" s="147">
        <f>PRODUCT(F40,D41)</f>
        <v>524.523</v>
      </c>
      <c r="G41" s="148">
        <f>F41/$F$43</f>
        <v>0.130434782608696</v>
      </c>
      <c r="H41" s="147"/>
      <c r="I41" s="149"/>
      <c r="J41" s="150"/>
      <c r="K41" s="17"/>
      <c r="L41" s="4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29"/>
      <c r="B42" t="s" s="151">
        <v>60</v>
      </c>
      <c r="C42" s="152"/>
      <c r="D42" s="152">
        <v>0.1</v>
      </c>
      <c r="E42" s="153"/>
      <c r="F42" s="79">
        <f>PRODUCT(F40,D42)</f>
        <v>349.682</v>
      </c>
      <c r="G42" s="80">
        <f>F42/$F$43</f>
        <v>0.0869565217391304</v>
      </c>
      <c r="H42" s="79"/>
      <c r="I42" s="154"/>
      <c r="J42" s="155"/>
      <c r="K42" s="17"/>
      <c r="L42" s="4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56"/>
      <c r="B43" t="s" s="157">
        <v>61</v>
      </c>
      <c r="C43" s="158"/>
      <c r="D43" s="158"/>
      <c r="E43" s="159"/>
      <c r="F43" s="160">
        <f>F40+F41</f>
        <v>4021.343</v>
      </c>
      <c r="G43" s="161"/>
      <c r="H43" s="160"/>
      <c r="I43" s="162"/>
      <c r="J43" s="163">
        <f>SUM(F43)</f>
        <v>4021.343</v>
      </c>
      <c r="K43" s="164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 ht="14.25" customHeight="1">
      <c r="A44" s="29"/>
      <c r="B44" t="s" s="166">
        <v>62</v>
      </c>
      <c r="C44" s="167"/>
      <c r="D44" s="167">
        <v>0.21</v>
      </c>
      <c r="E44" s="62"/>
      <c r="F44" s="4">
        <f>D44*F43</f>
        <v>844.48203</v>
      </c>
      <c r="G44" s="63"/>
      <c r="H44" s="4"/>
      <c r="I44" s="84"/>
      <c r="J44" s="168">
        <f>D44*J43</f>
        <v>844.48203</v>
      </c>
      <c r="K44" s="1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56"/>
      <c r="B45" t="s" s="169">
        <v>63</v>
      </c>
      <c r="C45" s="170"/>
      <c r="D45" s="170"/>
      <c r="E45" s="171"/>
      <c r="F45" s="172">
        <f>F43+F44</f>
        <v>4865.82503</v>
      </c>
      <c r="G45" s="161"/>
      <c r="H45" s="160"/>
      <c r="I45" s="162"/>
      <c r="J45" s="163">
        <f>SUM(J43:J44)</f>
        <v>4865.82503</v>
      </c>
      <c r="K45" s="164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 ht="14.25" customHeight="1">
      <c r="A46" s="156"/>
      <c r="B46" s="173"/>
      <c r="C46" s="158"/>
      <c r="D46" s="158"/>
      <c r="E46" s="159"/>
      <c r="F46" s="160"/>
      <c r="G46" s="161"/>
      <c r="H46" s="160"/>
      <c r="I46" s="162"/>
      <c r="J46" s="163"/>
      <c r="K46" s="164"/>
      <c r="L46" s="174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 ht="14.25" customHeight="1">
      <c r="A47" s="6"/>
      <c r="B47" t="s" s="175">
        <v>64</v>
      </c>
      <c r="C47" s="170"/>
      <c r="D47" s="170"/>
      <c r="E47" s="171"/>
      <c r="F47" s="176">
        <v>7000</v>
      </c>
      <c r="G47" s="177"/>
      <c r="H47" s="172"/>
      <c r="I47" s="178"/>
      <c r="J47" s="179"/>
      <c r="K47" s="11"/>
      <c r="L47" s="180"/>
      <c r="M47" s="18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82"/>
      <c r="B48" t="s" s="183">
        <v>65</v>
      </c>
      <c r="C48" s="184"/>
      <c r="D48" s="184"/>
      <c r="E48" s="185"/>
      <c r="F48" s="186">
        <f>SUM(F47-F45)</f>
        <v>2134.17497</v>
      </c>
      <c r="G48" s="187"/>
      <c r="H48" s="188"/>
      <c r="I48" s="189"/>
      <c r="J48" s="190">
        <f>F48</f>
        <v>2134.17497</v>
      </c>
      <c r="K48" s="191"/>
      <c r="L48" s="192"/>
      <c r="M48" s="193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ht="14.25" customHeight="1">
      <c r="A49" s="17"/>
      <c r="B49" s="3"/>
      <c r="C49" s="3"/>
      <c r="D49" s="3"/>
      <c r="E49" s="62"/>
      <c r="F49" s="4"/>
      <c r="G49" s="63"/>
      <c r="H49" s="4"/>
      <c r="I49" s="3"/>
      <c r="J49" s="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82"/>
      <c r="B50" t="s" s="183">
        <v>66</v>
      </c>
      <c r="C50" s="184"/>
      <c r="D50" s="184"/>
      <c r="E50" s="185"/>
      <c r="F50" s="186"/>
      <c r="G50" s="187"/>
      <c r="H50" s="188"/>
      <c r="I50" s="189"/>
      <c r="J50" s="190">
        <f>SUM(F50)</f>
        <v>0</v>
      </c>
      <c r="K50" s="191"/>
      <c r="L50" s="192"/>
      <c r="M50" s="193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 ht="14.25" customHeight="1">
      <c r="A51" s="6"/>
      <c r="B51" t="s" s="169">
        <v>67</v>
      </c>
      <c r="C51" s="170"/>
      <c r="D51" s="170"/>
      <c r="E51" s="171"/>
      <c r="F51" s="176">
        <f>PRODUCT(F43/C14)</f>
        <v>1340.447666666670</v>
      </c>
      <c r="G51" s="177"/>
      <c r="H51" s="172"/>
      <c r="I51" s="178"/>
      <c r="J51" s="179">
        <f>SUM(F51)</f>
        <v>1340.447666666670</v>
      </c>
      <c r="K51" s="11"/>
      <c r="L51" s="12"/>
      <c r="M51" s="18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5"/>
      <c r="B52" s="18"/>
      <c r="C52" s="18"/>
      <c r="D52" s="18"/>
      <c r="E52" s="194"/>
      <c r="F52" s="19"/>
      <c r="G52" s="195"/>
      <c r="H52" s="19"/>
      <c r="I52" s="18"/>
      <c r="J52" s="1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76"/>
      <c r="F53" s="45"/>
      <c r="G53" s="77"/>
      <c r="H53" s="4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76"/>
      <c r="F54" s="45"/>
      <c r="G54" s="77"/>
      <c r="H54" s="4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76"/>
      <c r="F55" s="45"/>
      <c r="G55" s="77"/>
      <c r="H55" s="4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76"/>
      <c r="F56" s="45"/>
      <c r="G56" s="77"/>
      <c r="H56" s="4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76"/>
      <c r="F57" s="45"/>
      <c r="G57" s="77"/>
      <c r="H57" s="4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76"/>
      <c r="F58" s="45"/>
      <c r="G58" s="77"/>
      <c r="H58" s="4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76"/>
      <c r="F59" s="45"/>
      <c r="G59" s="77"/>
      <c r="H59" s="4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76"/>
      <c r="F60" s="45"/>
      <c r="G60" s="77"/>
      <c r="H60" s="4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76"/>
      <c r="F61" s="45"/>
      <c r="G61" s="77"/>
      <c r="H61" s="4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76"/>
      <c r="F62" s="45"/>
      <c r="G62" s="77"/>
      <c r="H62" s="4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76"/>
      <c r="F63" s="45"/>
      <c r="G63" s="77"/>
      <c r="H63" s="4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76"/>
      <c r="F64" s="45"/>
      <c r="G64" s="77"/>
      <c r="H64" s="4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76"/>
      <c r="F65" s="45"/>
      <c r="G65" s="77"/>
      <c r="H65" s="4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76"/>
      <c r="F66" s="45"/>
      <c r="G66" s="77"/>
      <c r="H66" s="4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76"/>
      <c r="F67" s="45"/>
      <c r="G67" s="77"/>
      <c r="H67" s="4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76"/>
      <c r="F68" s="45"/>
      <c r="G68" s="77"/>
      <c r="H68" s="4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76"/>
      <c r="F69" s="45"/>
      <c r="G69" s="77"/>
      <c r="H69" s="4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76"/>
      <c r="F70" s="45"/>
      <c r="G70" s="77"/>
      <c r="H70" s="4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76"/>
      <c r="F71" s="45"/>
      <c r="G71" s="77"/>
      <c r="H71" s="4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76"/>
      <c r="F72" s="45"/>
      <c r="G72" s="77"/>
      <c r="H72" s="4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76"/>
      <c r="F73" s="45"/>
      <c r="G73" s="77"/>
      <c r="H73" s="4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76"/>
      <c r="F74" s="45"/>
      <c r="G74" s="77"/>
      <c r="H74" s="4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76"/>
      <c r="F75" s="45"/>
      <c r="G75" s="77"/>
      <c r="H75" s="4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76"/>
      <c r="F76" s="45"/>
      <c r="G76" s="77"/>
      <c r="H76" s="4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76"/>
      <c r="F77" s="45"/>
      <c r="G77" s="77"/>
      <c r="H77" s="4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76"/>
      <c r="F78" s="45"/>
      <c r="G78" s="77"/>
      <c r="H78" s="4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76"/>
      <c r="F79" s="45"/>
      <c r="G79" s="77"/>
      <c r="H79" s="4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76"/>
      <c r="F80" s="45"/>
      <c r="G80" s="77"/>
      <c r="H80" s="4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76"/>
      <c r="F81" s="45"/>
      <c r="G81" s="77"/>
      <c r="H81" s="4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76"/>
      <c r="F82" s="45"/>
      <c r="G82" s="77"/>
      <c r="H82" s="4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76"/>
      <c r="F83" s="45"/>
      <c r="G83" s="77"/>
      <c r="H83" s="4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76"/>
      <c r="F84" s="45"/>
      <c r="G84" s="77"/>
      <c r="H84" s="4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76"/>
      <c r="F85" s="45"/>
      <c r="G85" s="77"/>
      <c r="H85" s="4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76"/>
      <c r="F86" s="45"/>
      <c r="G86" s="77"/>
      <c r="H86" s="4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76"/>
      <c r="F87" s="45"/>
      <c r="G87" s="77"/>
      <c r="H87" s="4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76"/>
      <c r="F88" s="45"/>
      <c r="G88" s="77"/>
      <c r="H88" s="4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76"/>
      <c r="F89" s="45"/>
      <c r="G89" s="77"/>
      <c r="H89" s="4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76"/>
      <c r="F90" s="45"/>
      <c r="G90" s="77"/>
      <c r="H90" s="4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76"/>
      <c r="F91" s="45"/>
      <c r="G91" s="77"/>
      <c r="H91" s="4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76"/>
      <c r="F92" s="45"/>
      <c r="G92" s="77"/>
      <c r="H92" s="4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76"/>
      <c r="F93" s="45"/>
      <c r="G93" s="77"/>
      <c r="H93" s="4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76"/>
      <c r="F94" s="45"/>
      <c r="G94" s="77"/>
      <c r="H94" s="4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76"/>
      <c r="F95" s="45"/>
      <c r="G95" s="77"/>
      <c r="H95" s="4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76"/>
      <c r="F96" s="45"/>
      <c r="G96" s="77"/>
      <c r="H96" s="4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76"/>
      <c r="F97" s="45"/>
      <c r="G97" s="77"/>
      <c r="H97" s="4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76"/>
      <c r="F98" s="45"/>
      <c r="G98" s="77"/>
      <c r="H98" s="4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76"/>
      <c r="F99" s="45"/>
      <c r="G99" s="77"/>
      <c r="H99" s="4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76"/>
      <c r="F100" s="45"/>
      <c r="G100" s="77"/>
      <c r="H100" s="4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76"/>
      <c r="F101" s="45"/>
      <c r="G101" s="77"/>
      <c r="H101" s="4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76"/>
      <c r="F102" s="45"/>
      <c r="G102" s="77"/>
      <c r="H102" s="4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76"/>
      <c r="F103" s="45"/>
      <c r="G103" s="77"/>
      <c r="H103" s="4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76"/>
      <c r="F104" s="45"/>
      <c r="G104" s="77"/>
      <c r="H104" s="4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76"/>
      <c r="F105" s="45"/>
      <c r="G105" s="77"/>
      <c r="H105" s="4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76"/>
      <c r="F106" s="45"/>
      <c r="G106" s="77"/>
      <c r="H106" s="4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76"/>
      <c r="F107" s="45"/>
      <c r="G107" s="77"/>
      <c r="H107" s="4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76"/>
      <c r="F108" s="45"/>
      <c r="G108" s="77"/>
      <c r="H108" s="4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76"/>
      <c r="F109" s="45"/>
      <c r="G109" s="77"/>
      <c r="H109" s="4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76"/>
      <c r="F110" s="45"/>
      <c r="G110" s="77"/>
      <c r="H110" s="4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76"/>
      <c r="F111" s="45"/>
      <c r="G111" s="77"/>
      <c r="H111" s="4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76"/>
      <c r="F112" s="45"/>
      <c r="G112" s="77"/>
      <c r="H112" s="4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76"/>
      <c r="F113" s="45"/>
      <c r="G113" s="77"/>
      <c r="H113" s="4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76"/>
      <c r="F114" s="45"/>
      <c r="G114" s="77"/>
      <c r="H114" s="4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76"/>
      <c r="F115" s="45"/>
      <c r="G115" s="77"/>
      <c r="H115" s="4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76"/>
      <c r="F116" s="45"/>
      <c r="G116" s="77"/>
      <c r="H116" s="4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76"/>
      <c r="F117" s="45"/>
      <c r="G117" s="77"/>
      <c r="H117" s="4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76"/>
      <c r="F118" s="45"/>
      <c r="G118" s="77"/>
      <c r="H118" s="4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76"/>
      <c r="F119" s="45"/>
      <c r="G119" s="77"/>
      <c r="H119" s="4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76"/>
      <c r="F120" s="45"/>
      <c r="G120" s="77"/>
      <c r="H120" s="4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76"/>
      <c r="F121" s="45"/>
      <c r="G121" s="77"/>
      <c r="H121" s="4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76"/>
      <c r="F122" s="45"/>
      <c r="G122" s="77"/>
      <c r="H122" s="4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76"/>
      <c r="F123" s="45"/>
      <c r="G123" s="77"/>
      <c r="H123" s="4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76"/>
      <c r="F124" s="45"/>
      <c r="G124" s="77"/>
      <c r="H124" s="4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76"/>
      <c r="F125" s="45"/>
      <c r="G125" s="77"/>
      <c r="H125" s="4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76"/>
      <c r="F126" s="45"/>
      <c r="G126" s="77"/>
      <c r="H126" s="4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76"/>
      <c r="F127" s="45"/>
      <c r="G127" s="77"/>
      <c r="H127" s="4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76"/>
      <c r="F128" s="45"/>
      <c r="G128" s="77"/>
      <c r="H128" s="4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76"/>
      <c r="F129" s="45"/>
      <c r="G129" s="77"/>
      <c r="H129" s="4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76"/>
      <c r="F130" s="45"/>
      <c r="G130" s="77"/>
      <c r="H130" s="4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76"/>
      <c r="F131" s="45"/>
      <c r="G131" s="77"/>
      <c r="H131" s="4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76"/>
      <c r="F132" s="45"/>
      <c r="G132" s="77"/>
      <c r="H132" s="4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76"/>
      <c r="F133" s="45"/>
      <c r="G133" s="77"/>
      <c r="H133" s="4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76"/>
      <c r="F134" s="45"/>
      <c r="G134" s="77"/>
      <c r="H134" s="4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76"/>
      <c r="F135" s="45"/>
      <c r="G135" s="77"/>
      <c r="H135" s="4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76"/>
      <c r="F136" s="45"/>
      <c r="G136" s="77"/>
      <c r="H136" s="4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76"/>
      <c r="F137" s="45"/>
      <c r="G137" s="77"/>
      <c r="H137" s="4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76"/>
      <c r="F138" s="45"/>
      <c r="G138" s="77"/>
      <c r="H138" s="4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76"/>
      <c r="F139" s="45"/>
      <c r="G139" s="77"/>
      <c r="H139" s="4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76"/>
      <c r="F140" s="45"/>
      <c r="G140" s="77"/>
      <c r="H140" s="4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76"/>
      <c r="F141" s="45"/>
      <c r="G141" s="77"/>
      <c r="H141" s="4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76"/>
      <c r="F142" s="45"/>
      <c r="G142" s="77"/>
      <c r="H142" s="4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76"/>
      <c r="F143" s="45"/>
      <c r="G143" s="77"/>
      <c r="H143" s="4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76"/>
      <c r="F144" s="45"/>
      <c r="G144" s="77"/>
      <c r="H144" s="4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76"/>
      <c r="F145" s="45"/>
      <c r="G145" s="77"/>
      <c r="H145" s="4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76"/>
      <c r="F146" s="45"/>
      <c r="G146" s="77"/>
      <c r="H146" s="4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76"/>
      <c r="F147" s="45"/>
      <c r="G147" s="77"/>
      <c r="H147" s="4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76"/>
      <c r="F148" s="45"/>
      <c r="G148" s="77"/>
      <c r="H148" s="4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76"/>
      <c r="F149" s="45"/>
      <c r="G149" s="77"/>
      <c r="H149" s="4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76"/>
      <c r="F150" s="45"/>
      <c r="G150" s="77"/>
      <c r="H150" s="4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76"/>
      <c r="F151" s="45"/>
      <c r="G151" s="77"/>
      <c r="H151" s="4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76"/>
      <c r="F152" s="45"/>
      <c r="G152" s="77"/>
      <c r="H152" s="4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76"/>
      <c r="F153" s="45"/>
      <c r="G153" s="77"/>
      <c r="H153" s="4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76"/>
      <c r="F154" s="45"/>
      <c r="G154" s="77"/>
      <c r="H154" s="4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76"/>
      <c r="F155" s="45"/>
      <c r="G155" s="77"/>
      <c r="H155" s="4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76"/>
      <c r="F156" s="45"/>
      <c r="G156" s="77"/>
      <c r="H156" s="4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76"/>
      <c r="F157" s="45"/>
      <c r="G157" s="77"/>
      <c r="H157" s="4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76"/>
      <c r="F158" s="45"/>
      <c r="G158" s="77"/>
      <c r="H158" s="4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76"/>
      <c r="F159" s="45"/>
      <c r="G159" s="77"/>
      <c r="H159" s="4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76"/>
      <c r="F160" s="45"/>
      <c r="G160" s="77"/>
      <c r="H160" s="4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76"/>
      <c r="F161" s="45"/>
      <c r="G161" s="77"/>
      <c r="H161" s="4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76"/>
      <c r="F162" s="45"/>
      <c r="G162" s="77"/>
      <c r="H162" s="4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76"/>
      <c r="F163" s="45"/>
      <c r="G163" s="77"/>
      <c r="H163" s="4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76"/>
      <c r="F164" s="45"/>
      <c r="G164" s="77"/>
      <c r="H164" s="4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76"/>
      <c r="F165" s="45"/>
      <c r="G165" s="77"/>
      <c r="H165" s="4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76"/>
      <c r="F166" s="45"/>
      <c r="G166" s="77"/>
      <c r="H166" s="4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76"/>
      <c r="F167" s="45"/>
      <c r="G167" s="77"/>
      <c r="H167" s="4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76"/>
      <c r="F168" s="45"/>
      <c r="G168" s="77"/>
      <c r="H168" s="4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76"/>
      <c r="F169" s="45"/>
      <c r="G169" s="77"/>
      <c r="H169" s="4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76"/>
      <c r="F170" s="45"/>
      <c r="G170" s="77"/>
      <c r="H170" s="4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76"/>
      <c r="F171" s="45"/>
      <c r="G171" s="77"/>
      <c r="H171" s="4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76"/>
      <c r="F172" s="45"/>
      <c r="G172" s="77"/>
      <c r="H172" s="4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76"/>
      <c r="F173" s="45"/>
      <c r="G173" s="77"/>
      <c r="H173" s="4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76"/>
      <c r="F174" s="45"/>
      <c r="G174" s="77"/>
      <c r="H174" s="4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76"/>
      <c r="F175" s="45"/>
      <c r="G175" s="77"/>
      <c r="H175" s="4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76"/>
      <c r="F176" s="45"/>
      <c r="G176" s="77"/>
      <c r="H176" s="4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76"/>
      <c r="F177" s="45"/>
      <c r="G177" s="77"/>
      <c r="H177" s="4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76"/>
      <c r="F178" s="45"/>
      <c r="G178" s="77"/>
      <c r="H178" s="4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76"/>
      <c r="F179" s="45"/>
      <c r="G179" s="77"/>
      <c r="H179" s="4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76"/>
      <c r="F180" s="45"/>
      <c r="G180" s="77"/>
      <c r="H180" s="4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76"/>
      <c r="F181" s="45"/>
      <c r="G181" s="77"/>
      <c r="H181" s="4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76"/>
      <c r="F182" s="45"/>
      <c r="G182" s="77"/>
      <c r="H182" s="4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76"/>
      <c r="F183" s="45"/>
      <c r="G183" s="77"/>
      <c r="H183" s="4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76"/>
      <c r="F184" s="45"/>
      <c r="G184" s="77"/>
      <c r="H184" s="4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76"/>
      <c r="F185" s="45"/>
      <c r="G185" s="77"/>
      <c r="H185" s="4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76"/>
      <c r="F186" s="45"/>
      <c r="G186" s="77"/>
      <c r="H186" s="4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76"/>
      <c r="F187" s="45"/>
      <c r="G187" s="77"/>
      <c r="H187" s="4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76"/>
      <c r="F188" s="45"/>
      <c r="G188" s="77"/>
      <c r="H188" s="4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76"/>
      <c r="F189" s="45"/>
      <c r="G189" s="77"/>
      <c r="H189" s="4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76"/>
      <c r="F190" s="45"/>
      <c r="G190" s="77"/>
      <c r="H190" s="4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76"/>
      <c r="F191" s="45"/>
      <c r="G191" s="77"/>
      <c r="H191" s="4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76"/>
      <c r="F192" s="45"/>
      <c r="G192" s="77"/>
      <c r="H192" s="4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76"/>
      <c r="F193" s="45"/>
      <c r="G193" s="77"/>
      <c r="H193" s="4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76"/>
      <c r="F194" s="45"/>
      <c r="G194" s="77"/>
      <c r="H194" s="4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76"/>
      <c r="F195" s="45"/>
      <c r="G195" s="77"/>
      <c r="H195" s="4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76"/>
      <c r="F196" s="45"/>
      <c r="G196" s="77"/>
      <c r="H196" s="4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76"/>
      <c r="F197" s="45"/>
      <c r="G197" s="77"/>
      <c r="H197" s="4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76"/>
      <c r="F198" s="45"/>
      <c r="G198" s="77"/>
      <c r="H198" s="4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76"/>
      <c r="F199" s="45"/>
      <c r="G199" s="77"/>
      <c r="H199" s="4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76"/>
      <c r="F200" s="45"/>
      <c r="G200" s="77"/>
      <c r="H200" s="4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76"/>
      <c r="F201" s="45"/>
      <c r="G201" s="77"/>
      <c r="H201" s="4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76"/>
      <c r="F202" s="45"/>
      <c r="G202" s="77"/>
      <c r="H202" s="4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76"/>
      <c r="F203" s="45"/>
      <c r="G203" s="77"/>
      <c r="H203" s="4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76"/>
      <c r="F204" s="45"/>
      <c r="G204" s="77"/>
      <c r="H204" s="4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76"/>
      <c r="F205" s="45"/>
      <c r="G205" s="77"/>
      <c r="H205" s="4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76"/>
      <c r="F206" s="45"/>
      <c r="G206" s="77"/>
      <c r="H206" s="4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76"/>
      <c r="F207" s="45"/>
      <c r="G207" s="77"/>
      <c r="H207" s="4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76"/>
      <c r="F208" s="45"/>
      <c r="G208" s="77"/>
      <c r="H208" s="4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76"/>
      <c r="F209" s="45"/>
      <c r="G209" s="77"/>
      <c r="H209" s="4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76"/>
      <c r="F210" s="45"/>
      <c r="G210" s="77"/>
      <c r="H210" s="4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76"/>
      <c r="F211" s="45"/>
      <c r="G211" s="77"/>
      <c r="H211" s="4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76"/>
      <c r="F212" s="45"/>
      <c r="G212" s="77"/>
      <c r="H212" s="4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76"/>
      <c r="F213" s="45"/>
      <c r="G213" s="77"/>
      <c r="H213" s="4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76"/>
      <c r="F214" s="45"/>
      <c r="G214" s="77"/>
      <c r="H214" s="4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76"/>
      <c r="F215" s="45"/>
      <c r="G215" s="77"/>
      <c r="H215" s="4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76"/>
      <c r="F216" s="45"/>
      <c r="G216" s="77"/>
      <c r="H216" s="4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76"/>
      <c r="F217" s="45"/>
      <c r="G217" s="77"/>
      <c r="H217" s="4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76"/>
      <c r="F218" s="45"/>
      <c r="G218" s="77"/>
      <c r="H218" s="4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76"/>
      <c r="F219" s="45"/>
      <c r="G219" s="77"/>
      <c r="H219" s="4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76"/>
      <c r="F220" s="45"/>
      <c r="G220" s="77"/>
      <c r="H220" s="4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76"/>
      <c r="F221" s="45"/>
      <c r="G221" s="77"/>
      <c r="H221" s="4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76"/>
      <c r="F222" s="45"/>
      <c r="G222" s="77"/>
      <c r="H222" s="4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76"/>
      <c r="F223" s="45"/>
      <c r="G223" s="77"/>
      <c r="H223" s="4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76"/>
      <c r="F224" s="45"/>
      <c r="G224" s="77"/>
      <c r="H224" s="4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76"/>
      <c r="F225" s="45"/>
      <c r="G225" s="77"/>
      <c r="H225" s="4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76"/>
      <c r="F226" s="45"/>
      <c r="G226" s="77"/>
      <c r="H226" s="4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76"/>
      <c r="F227" s="45"/>
      <c r="G227" s="77"/>
      <c r="H227" s="4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76"/>
      <c r="F228" s="45"/>
      <c r="G228" s="77"/>
      <c r="H228" s="4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76"/>
      <c r="F229" s="45"/>
      <c r="G229" s="77"/>
      <c r="H229" s="4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76"/>
      <c r="F230" s="45"/>
      <c r="G230" s="77"/>
      <c r="H230" s="4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76"/>
      <c r="F231" s="45"/>
      <c r="G231" s="77"/>
      <c r="H231" s="4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76"/>
      <c r="F232" s="45"/>
      <c r="G232" s="77"/>
      <c r="H232" s="4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76"/>
      <c r="F233" s="45"/>
      <c r="G233" s="77"/>
      <c r="H233" s="4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76"/>
      <c r="F234" s="45"/>
      <c r="G234" s="77"/>
      <c r="H234" s="4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76"/>
      <c r="F235" s="45"/>
      <c r="G235" s="77"/>
      <c r="H235" s="4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76"/>
      <c r="F236" s="45"/>
      <c r="G236" s="77"/>
      <c r="H236" s="4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76"/>
      <c r="F237" s="45"/>
      <c r="G237" s="77"/>
      <c r="H237" s="4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76"/>
      <c r="F238" s="45"/>
      <c r="G238" s="77"/>
      <c r="H238" s="4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76"/>
      <c r="F239" s="45"/>
      <c r="G239" s="77"/>
      <c r="H239" s="4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76"/>
      <c r="F240" s="45"/>
      <c r="G240" s="77"/>
      <c r="H240" s="4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76"/>
      <c r="F241" s="45"/>
      <c r="G241" s="77"/>
      <c r="H241" s="4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76"/>
      <c r="F242" s="45"/>
      <c r="G242" s="77"/>
      <c r="H242" s="4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76"/>
      <c r="F243" s="45"/>
      <c r="G243" s="77"/>
      <c r="H243" s="4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76"/>
      <c r="F244" s="45"/>
      <c r="G244" s="77"/>
      <c r="H244" s="4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76"/>
      <c r="F245" s="45"/>
      <c r="G245" s="77"/>
      <c r="H245" s="4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76"/>
      <c r="F246" s="45"/>
      <c r="G246" s="77"/>
      <c r="H246" s="4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76"/>
      <c r="F247" s="45"/>
      <c r="G247" s="77"/>
      <c r="H247" s="4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76"/>
      <c r="F248" s="45"/>
      <c r="G248" s="77"/>
      <c r="H248" s="4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76"/>
      <c r="F249" s="45"/>
      <c r="G249" s="77"/>
      <c r="H249" s="4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76"/>
      <c r="F250" s="45"/>
      <c r="G250" s="77"/>
      <c r="H250" s="4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76"/>
      <c r="F251" s="45"/>
      <c r="G251" s="77"/>
      <c r="H251" s="4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76"/>
      <c r="F252" s="45"/>
      <c r="G252" s="77"/>
      <c r="H252" s="4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76"/>
      <c r="F253" s="45"/>
      <c r="G253" s="77"/>
      <c r="H253" s="4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76"/>
      <c r="F254" s="45"/>
      <c r="G254" s="77"/>
      <c r="H254" s="4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76"/>
      <c r="F255" s="45"/>
      <c r="G255" s="77"/>
      <c r="H255" s="4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76"/>
      <c r="F256" s="45"/>
      <c r="G256" s="77"/>
      <c r="H256" s="4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76"/>
      <c r="F257" s="45"/>
      <c r="G257" s="77"/>
      <c r="H257" s="4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76"/>
      <c r="F258" s="45"/>
      <c r="G258" s="77"/>
      <c r="H258" s="4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76"/>
      <c r="F259" s="45"/>
      <c r="G259" s="77"/>
      <c r="H259" s="4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76"/>
      <c r="F260" s="45"/>
      <c r="G260" s="77"/>
      <c r="H260" s="4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76"/>
      <c r="F261" s="45"/>
      <c r="G261" s="77"/>
      <c r="H261" s="4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76"/>
      <c r="F262" s="45"/>
      <c r="G262" s="77"/>
      <c r="H262" s="4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76"/>
      <c r="F263" s="45"/>
      <c r="G263" s="77"/>
      <c r="H263" s="4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76"/>
      <c r="F264" s="45"/>
      <c r="G264" s="77"/>
      <c r="H264" s="4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76"/>
      <c r="F265" s="45"/>
      <c r="G265" s="77"/>
      <c r="H265" s="4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76"/>
      <c r="F266" s="45"/>
      <c r="G266" s="77"/>
      <c r="H266" s="4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76"/>
      <c r="F267" s="45"/>
      <c r="G267" s="77"/>
      <c r="H267" s="4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76"/>
      <c r="F268" s="45"/>
      <c r="G268" s="77"/>
      <c r="H268" s="4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76"/>
      <c r="F269" s="45"/>
      <c r="G269" s="77"/>
      <c r="H269" s="4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76"/>
      <c r="F270" s="45"/>
      <c r="G270" s="77"/>
      <c r="H270" s="4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76"/>
      <c r="F271" s="45"/>
      <c r="G271" s="77"/>
      <c r="H271" s="4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76"/>
      <c r="F272" s="45"/>
      <c r="G272" s="77"/>
      <c r="H272" s="4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76"/>
      <c r="F273" s="45"/>
      <c r="G273" s="77"/>
      <c r="H273" s="4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76"/>
      <c r="F274" s="45"/>
      <c r="G274" s="77"/>
      <c r="H274" s="4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76"/>
      <c r="F275" s="45"/>
      <c r="G275" s="77"/>
      <c r="H275" s="4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76"/>
      <c r="F276" s="45"/>
      <c r="G276" s="77"/>
      <c r="H276" s="4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76"/>
      <c r="F277" s="45"/>
      <c r="G277" s="77"/>
      <c r="H277" s="4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76"/>
      <c r="F278" s="45"/>
      <c r="G278" s="77"/>
      <c r="H278" s="4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76"/>
      <c r="F279" s="45"/>
      <c r="G279" s="77"/>
      <c r="H279" s="4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76"/>
      <c r="F280" s="45"/>
      <c r="G280" s="77"/>
      <c r="H280" s="4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76"/>
      <c r="F281" s="45"/>
      <c r="G281" s="77"/>
      <c r="H281" s="4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76"/>
      <c r="F282" s="45"/>
      <c r="G282" s="77"/>
      <c r="H282" s="4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76"/>
      <c r="F283" s="45"/>
      <c r="G283" s="77"/>
      <c r="H283" s="4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76"/>
      <c r="F284" s="45"/>
      <c r="G284" s="77"/>
      <c r="H284" s="4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76"/>
      <c r="F285" s="45"/>
      <c r="G285" s="77"/>
      <c r="H285" s="4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76"/>
      <c r="F286" s="45"/>
      <c r="G286" s="77"/>
      <c r="H286" s="4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76"/>
      <c r="F287" s="45"/>
      <c r="G287" s="77"/>
      <c r="H287" s="4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76"/>
      <c r="F288" s="45"/>
      <c r="G288" s="77"/>
      <c r="H288" s="4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76"/>
      <c r="F289" s="45"/>
      <c r="G289" s="77"/>
      <c r="H289" s="4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76"/>
      <c r="F290" s="45"/>
      <c r="G290" s="77"/>
      <c r="H290" s="4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76"/>
      <c r="F291" s="45"/>
      <c r="G291" s="77"/>
      <c r="H291" s="4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76"/>
      <c r="F292" s="45"/>
      <c r="G292" s="77"/>
      <c r="H292" s="4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76"/>
      <c r="F293" s="45"/>
      <c r="G293" s="77"/>
      <c r="H293" s="4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76"/>
      <c r="F294" s="45"/>
      <c r="G294" s="77"/>
      <c r="H294" s="4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76"/>
      <c r="F295" s="45"/>
      <c r="G295" s="77"/>
      <c r="H295" s="4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76"/>
      <c r="F296" s="45"/>
      <c r="G296" s="77"/>
      <c r="H296" s="4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76"/>
      <c r="F297" s="45"/>
      <c r="G297" s="77"/>
      <c r="H297" s="4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76"/>
      <c r="F298" s="45"/>
      <c r="G298" s="77"/>
      <c r="H298" s="4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76"/>
      <c r="F299" s="45"/>
      <c r="G299" s="77"/>
      <c r="H299" s="4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76"/>
      <c r="F300" s="45"/>
      <c r="G300" s="77"/>
      <c r="H300" s="4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76"/>
      <c r="F301" s="45"/>
      <c r="G301" s="77"/>
      <c r="H301" s="4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76"/>
      <c r="F302" s="45"/>
      <c r="G302" s="77"/>
      <c r="H302" s="4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76"/>
      <c r="F303" s="45"/>
      <c r="G303" s="77"/>
      <c r="H303" s="4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76"/>
      <c r="F304" s="45"/>
      <c r="G304" s="77"/>
      <c r="H304" s="4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76"/>
      <c r="F305" s="45"/>
      <c r="G305" s="77"/>
      <c r="H305" s="4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76"/>
      <c r="F306" s="45"/>
      <c r="G306" s="77"/>
      <c r="H306" s="4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76"/>
      <c r="F307" s="45"/>
      <c r="G307" s="77"/>
      <c r="H307" s="4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76"/>
      <c r="F308" s="45"/>
      <c r="G308" s="77"/>
      <c r="H308" s="4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76"/>
      <c r="F309" s="45"/>
      <c r="G309" s="77"/>
      <c r="H309" s="4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76"/>
      <c r="F310" s="45"/>
      <c r="G310" s="77"/>
      <c r="H310" s="4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76"/>
      <c r="F311" s="45"/>
      <c r="G311" s="77"/>
      <c r="H311" s="4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76"/>
      <c r="F312" s="45"/>
      <c r="G312" s="77"/>
      <c r="H312" s="4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76"/>
      <c r="F313" s="45"/>
      <c r="G313" s="77"/>
      <c r="H313" s="4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76"/>
      <c r="F314" s="45"/>
      <c r="G314" s="77"/>
      <c r="H314" s="4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76"/>
      <c r="F315" s="45"/>
      <c r="G315" s="77"/>
      <c r="H315" s="4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76"/>
      <c r="F316" s="45"/>
      <c r="G316" s="77"/>
      <c r="H316" s="4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76"/>
      <c r="F317" s="45"/>
      <c r="G317" s="77"/>
      <c r="H317" s="4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76"/>
      <c r="F318" s="45"/>
      <c r="G318" s="77"/>
      <c r="H318" s="4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76"/>
      <c r="F319" s="45"/>
      <c r="G319" s="77"/>
      <c r="H319" s="4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76"/>
      <c r="F320" s="45"/>
      <c r="G320" s="77"/>
      <c r="H320" s="4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76"/>
      <c r="F321" s="45"/>
      <c r="G321" s="77"/>
      <c r="H321" s="4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76"/>
      <c r="F322" s="45"/>
      <c r="G322" s="77"/>
      <c r="H322" s="4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76"/>
      <c r="F323" s="45"/>
      <c r="G323" s="77"/>
      <c r="H323" s="4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76"/>
      <c r="F324" s="45"/>
      <c r="G324" s="77"/>
      <c r="H324" s="4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76"/>
      <c r="F325" s="45"/>
      <c r="G325" s="77"/>
      <c r="H325" s="4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76"/>
      <c r="F326" s="45"/>
      <c r="G326" s="77"/>
      <c r="H326" s="4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76"/>
      <c r="F327" s="45"/>
      <c r="G327" s="77"/>
      <c r="H327" s="4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76"/>
      <c r="F328" s="45"/>
      <c r="G328" s="77"/>
      <c r="H328" s="4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76"/>
      <c r="F329" s="45"/>
      <c r="G329" s="77"/>
      <c r="H329" s="4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76"/>
      <c r="F330" s="45"/>
      <c r="G330" s="77"/>
      <c r="H330" s="4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76"/>
      <c r="F331" s="45"/>
      <c r="G331" s="77"/>
      <c r="H331" s="4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76"/>
      <c r="F332" s="45"/>
      <c r="G332" s="77"/>
      <c r="H332" s="4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76"/>
      <c r="F333" s="45"/>
      <c r="G333" s="77"/>
      <c r="H333" s="4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76"/>
      <c r="F334" s="45"/>
      <c r="G334" s="77"/>
      <c r="H334" s="4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76"/>
      <c r="F335" s="45"/>
      <c r="G335" s="77"/>
      <c r="H335" s="4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76"/>
      <c r="F336" s="45"/>
      <c r="G336" s="77"/>
      <c r="H336" s="4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76"/>
      <c r="F337" s="45"/>
      <c r="G337" s="77"/>
      <c r="H337" s="4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76"/>
      <c r="F338" s="45"/>
      <c r="G338" s="77"/>
      <c r="H338" s="4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76"/>
      <c r="F339" s="45"/>
      <c r="G339" s="77"/>
      <c r="H339" s="4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76"/>
      <c r="F340" s="45"/>
      <c r="G340" s="77"/>
      <c r="H340" s="4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76"/>
      <c r="F341" s="45"/>
      <c r="G341" s="77"/>
      <c r="H341" s="4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76"/>
      <c r="F342" s="45"/>
      <c r="G342" s="77"/>
      <c r="H342" s="4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76"/>
      <c r="F343" s="45"/>
      <c r="G343" s="77"/>
      <c r="H343" s="4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76"/>
      <c r="F344" s="45"/>
      <c r="G344" s="77"/>
      <c r="H344" s="4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76"/>
      <c r="F345" s="45"/>
      <c r="G345" s="77"/>
      <c r="H345" s="4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76"/>
      <c r="F346" s="45"/>
      <c r="G346" s="77"/>
      <c r="H346" s="4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76"/>
      <c r="F347" s="45"/>
      <c r="G347" s="77"/>
      <c r="H347" s="4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76"/>
      <c r="F348" s="45"/>
      <c r="G348" s="77"/>
      <c r="H348" s="4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76"/>
      <c r="F349" s="45"/>
      <c r="G349" s="77"/>
      <c r="H349" s="4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76"/>
      <c r="F350" s="45"/>
      <c r="G350" s="77"/>
      <c r="H350" s="4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76"/>
      <c r="F351" s="45"/>
      <c r="G351" s="77"/>
      <c r="H351" s="4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76"/>
      <c r="F352" s="45"/>
      <c r="G352" s="77"/>
      <c r="H352" s="4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76"/>
      <c r="F353" s="45"/>
      <c r="G353" s="77"/>
      <c r="H353" s="4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76"/>
      <c r="F354" s="45"/>
      <c r="G354" s="77"/>
      <c r="H354" s="4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76"/>
      <c r="F355" s="45"/>
      <c r="G355" s="77"/>
      <c r="H355" s="4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76"/>
      <c r="F356" s="45"/>
      <c r="G356" s="77"/>
      <c r="H356" s="4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76"/>
      <c r="F357" s="45"/>
      <c r="G357" s="77"/>
      <c r="H357" s="4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76"/>
      <c r="F358" s="45"/>
      <c r="G358" s="77"/>
      <c r="H358" s="4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76"/>
      <c r="F359" s="45"/>
      <c r="G359" s="77"/>
      <c r="H359" s="4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76"/>
      <c r="F360" s="45"/>
      <c r="G360" s="77"/>
      <c r="H360" s="4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76"/>
      <c r="F361" s="45"/>
      <c r="G361" s="77"/>
      <c r="H361" s="4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76"/>
      <c r="F362" s="45"/>
      <c r="G362" s="77"/>
      <c r="H362" s="4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76"/>
      <c r="F363" s="45"/>
      <c r="G363" s="77"/>
      <c r="H363" s="4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76"/>
      <c r="F364" s="45"/>
      <c r="G364" s="77"/>
      <c r="H364" s="4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76"/>
      <c r="F365" s="45"/>
      <c r="G365" s="77"/>
      <c r="H365" s="4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76"/>
      <c r="F366" s="45"/>
      <c r="G366" s="77"/>
      <c r="H366" s="4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76"/>
      <c r="F367" s="45"/>
      <c r="G367" s="77"/>
      <c r="H367" s="4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76"/>
      <c r="F368" s="45"/>
      <c r="G368" s="77"/>
      <c r="H368" s="4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76"/>
      <c r="F369" s="45"/>
      <c r="G369" s="77"/>
      <c r="H369" s="4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76"/>
      <c r="F370" s="45"/>
      <c r="G370" s="77"/>
      <c r="H370" s="4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76"/>
      <c r="F371" s="45"/>
      <c r="G371" s="77"/>
      <c r="H371" s="4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76"/>
      <c r="F372" s="45"/>
      <c r="G372" s="77"/>
      <c r="H372" s="4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76"/>
      <c r="F373" s="45"/>
      <c r="G373" s="77"/>
      <c r="H373" s="4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76"/>
      <c r="F374" s="45"/>
      <c r="G374" s="77"/>
      <c r="H374" s="4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76"/>
      <c r="F375" s="45"/>
      <c r="G375" s="77"/>
      <c r="H375" s="4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76"/>
      <c r="F376" s="45"/>
      <c r="G376" s="77"/>
      <c r="H376" s="4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76"/>
      <c r="F377" s="45"/>
      <c r="G377" s="77"/>
      <c r="H377" s="4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76"/>
      <c r="F378" s="45"/>
      <c r="G378" s="77"/>
      <c r="H378" s="4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76"/>
      <c r="F379" s="45"/>
      <c r="G379" s="77"/>
      <c r="H379" s="4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76"/>
      <c r="F380" s="45"/>
      <c r="G380" s="77"/>
      <c r="H380" s="4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76"/>
      <c r="F381" s="45"/>
      <c r="G381" s="77"/>
      <c r="H381" s="4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76"/>
      <c r="F382" s="45"/>
      <c r="G382" s="77"/>
      <c r="H382" s="4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76"/>
      <c r="F383" s="45"/>
      <c r="G383" s="77"/>
      <c r="H383" s="4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76"/>
      <c r="F384" s="45"/>
      <c r="G384" s="77"/>
      <c r="H384" s="4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76"/>
      <c r="F385" s="45"/>
      <c r="G385" s="77"/>
      <c r="H385" s="4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76"/>
      <c r="F386" s="45"/>
      <c r="G386" s="77"/>
      <c r="H386" s="4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76"/>
      <c r="F387" s="45"/>
      <c r="G387" s="77"/>
      <c r="H387" s="4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76"/>
      <c r="F388" s="45"/>
      <c r="G388" s="77"/>
      <c r="H388" s="4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76"/>
      <c r="F389" s="45"/>
      <c r="G389" s="77"/>
      <c r="H389" s="4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76"/>
      <c r="F390" s="45"/>
      <c r="G390" s="77"/>
      <c r="H390" s="4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76"/>
      <c r="F391" s="45"/>
      <c r="G391" s="77"/>
      <c r="H391" s="4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76"/>
      <c r="F392" s="45"/>
      <c r="G392" s="77"/>
      <c r="H392" s="4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76"/>
      <c r="F393" s="45"/>
      <c r="G393" s="77"/>
      <c r="H393" s="4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76"/>
      <c r="F394" s="45"/>
      <c r="G394" s="77"/>
      <c r="H394" s="4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76"/>
      <c r="F395" s="45"/>
      <c r="G395" s="77"/>
      <c r="H395" s="4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76"/>
      <c r="F396" s="45"/>
      <c r="G396" s="77"/>
      <c r="H396" s="4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76"/>
      <c r="F397" s="45"/>
      <c r="G397" s="77"/>
      <c r="H397" s="4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76"/>
      <c r="F398" s="45"/>
      <c r="G398" s="77"/>
      <c r="H398" s="4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76"/>
      <c r="F399" s="45"/>
      <c r="G399" s="77"/>
      <c r="H399" s="4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76"/>
      <c r="F400" s="45"/>
      <c r="G400" s="77"/>
      <c r="H400" s="4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76"/>
      <c r="F401" s="45"/>
      <c r="G401" s="77"/>
      <c r="H401" s="4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76"/>
      <c r="F402" s="45"/>
      <c r="G402" s="77"/>
      <c r="H402" s="4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76"/>
      <c r="F403" s="45"/>
      <c r="G403" s="77"/>
      <c r="H403" s="4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76"/>
      <c r="F404" s="45"/>
      <c r="G404" s="77"/>
      <c r="H404" s="4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76"/>
      <c r="F405" s="45"/>
      <c r="G405" s="77"/>
      <c r="H405" s="4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76"/>
      <c r="F406" s="45"/>
      <c r="G406" s="77"/>
      <c r="H406" s="4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76"/>
      <c r="F407" s="45"/>
      <c r="G407" s="77"/>
      <c r="H407" s="4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76"/>
      <c r="F408" s="45"/>
      <c r="G408" s="77"/>
      <c r="H408" s="4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76"/>
      <c r="F409" s="45"/>
      <c r="G409" s="77"/>
      <c r="H409" s="4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76"/>
      <c r="F410" s="45"/>
      <c r="G410" s="77"/>
      <c r="H410" s="4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76"/>
      <c r="F411" s="45"/>
      <c r="G411" s="77"/>
      <c r="H411" s="4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76"/>
      <c r="F412" s="45"/>
      <c r="G412" s="77"/>
      <c r="H412" s="4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76"/>
      <c r="F413" s="45"/>
      <c r="G413" s="77"/>
      <c r="H413" s="4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76"/>
      <c r="F414" s="45"/>
      <c r="G414" s="77"/>
      <c r="H414" s="4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76"/>
      <c r="F415" s="45"/>
      <c r="G415" s="77"/>
      <c r="H415" s="4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76"/>
      <c r="F416" s="45"/>
      <c r="G416" s="77"/>
      <c r="H416" s="4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76"/>
      <c r="F417" s="45"/>
      <c r="G417" s="77"/>
      <c r="H417" s="4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76"/>
      <c r="F418" s="45"/>
      <c r="G418" s="77"/>
      <c r="H418" s="4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76"/>
      <c r="F419" s="45"/>
      <c r="G419" s="77"/>
      <c r="H419" s="4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76"/>
      <c r="F420" s="45"/>
      <c r="G420" s="77"/>
      <c r="H420" s="4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76"/>
      <c r="F421" s="45"/>
      <c r="G421" s="77"/>
      <c r="H421" s="4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76"/>
      <c r="F422" s="45"/>
      <c r="G422" s="77"/>
      <c r="H422" s="4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76"/>
      <c r="F423" s="45"/>
      <c r="G423" s="77"/>
      <c r="H423" s="4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76"/>
      <c r="F424" s="45"/>
      <c r="G424" s="77"/>
      <c r="H424" s="4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76"/>
      <c r="F425" s="45"/>
      <c r="G425" s="77"/>
      <c r="H425" s="4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76"/>
      <c r="F426" s="45"/>
      <c r="G426" s="77"/>
      <c r="H426" s="4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76"/>
      <c r="F427" s="45"/>
      <c r="G427" s="77"/>
      <c r="H427" s="4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76"/>
      <c r="F428" s="45"/>
      <c r="G428" s="77"/>
      <c r="H428" s="4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76"/>
      <c r="F429" s="45"/>
      <c r="G429" s="77"/>
      <c r="H429" s="4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76"/>
      <c r="F430" s="45"/>
      <c r="G430" s="77"/>
      <c r="H430" s="4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76"/>
      <c r="F431" s="45"/>
      <c r="G431" s="77"/>
      <c r="H431" s="4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76"/>
      <c r="F432" s="45"/>
      <c r="G432" s="77"/>
      <c r="H432" s="4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76"/>
      <c r="F433" s="45"/>
      <c r="G433" s="77"/>
      <c r="H433" s="4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76"/>
      <c r="F434" s="45"/>
      <c r="G434" s="77"/>
      <c r="H434" s="4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76"/>
      <c r="F435" s="45"/>
      <c r="G435" s="77"/>
      <c r="H435" s="4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76"/>
      <c r="F436" s="45"/>
      <c r="G436" s="77"/>
      <c r="H436" s="4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76"/>
      <c r="F437" s="45"/>
      <c r="G437" s="77"/>
      <c r="H437" s="4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76"/>
      <c r="F438" s="45"/>
      <c r="G438" s="77"/>
      <c r="H438" s="4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76"/>
      <c r="F439" s="45"/>
      <c r="G439" s="77"/>
      <c r="H439" s="4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76"/>
      <c r="F440" s="45"/>
      <c r="G440" s="77"/>
      <c r="H440" s="4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76"/>
      <c r="F441" s="45"/>
      <c r="G441" s="77"/>
      <c r="H441" s="4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76"/>
      <c r="F442" s="45"/>
      <c r="G442" s="77"/>
      <c r="H442" s="4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76"/>
      <c r="F443" s="45"/>
      <c r="G443" s="77"/>
      <c r="H443" s="4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76"/>
      <c r="F444" s="45"/>
      <c r="G444" s="77"/>
      <c r="H444" s="4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76"/>
      <c r="F445" s="45"/>
      <c r="G445" s="77"/>
      <c r="H445" s="4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76"/>
      <c r="F446" s="45"/>
      <c r="G446" s="77"/>
      <c r="H446" s="4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76"/>
      <c r="F447" s="45"/>
      <c r="G447" s="77"/>
      <c r="H447" s="4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76"/>
      <c r="F448" s="45"/>
      <c r="G448" s="77"/>
      <c r="H448" s="4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76"/>
      <c r="F449" s="45"/>
      <c r="G449" s="77"/>
      <c r="H449" s="4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76"/>
      <c r="F450" s="45"/>
      <c r="G450" s="77"/>
      <c r="H450" s="4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76"/>
      <c r="F451" s="45"/>
      <c r="G451" s="77"/>
      <c r="H451" s="4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76"/>
      <c r="F452" s="45"/>
      <c r="G452" s="77"/>
      <c r="H452" s="4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76"/>
      <c r="F453" s="45"/>
      <c r="G453" s="77"/>
      <c r="H453" s="4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76"/>
      <c r="F454" s="45"/>
      <c r="G454" s="77"/>
      <c r="H454" s="4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76"/>
      <c r="F455" s="45"/>
      <c r="G455" s="77"/>
      <c r="H455" s="4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76"/>
      <c r="F456" s="45"/>
      <c r="G456" s="77"/>
      <c r="H456" s="4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76"/>
      <c r="F457" s="45"/>
      <c r="G457" s="77"/>
      <c r="H457" s="4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76"/>
      <c r="F458" s="45"/>
      <c r="G458" s="77"/>
      <c r="H458" s="4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76"/>
      <c r="F459" s="45"/>
      <c r="G459" s="77"/>
      <c r="H459" s="4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76"/>
      <c r="F460" s="45"/>
      <c r="G460" s="77"/>
      <c r="H460" s="4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76"/>
      <c r="F461" s="45"/>
      <c r="G461" s="77"/>
      <c r="H461" s="4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76"/>
      <c r="F462" s="45"/>
      <c r="G462" s="77"/>
      <c r="H462" s="4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76"/>
      <c r="F463" s="45"/>
      <c r="G463" s="77"/>
      <c r="H463" s="4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76"/>
      <c r="F464" s="45"/>
      <c r="G464" s="77"/>
      <c r="H464" s="4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76"/>
      <c r="F465" s="45"/>
      <c r="G465" s="77"/>
      <c r="H465" s="4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76"/>
      <c r="F466" s="45"/>
      <c r="G466" s="77"/>
      <c r="H466" s="4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76"/>
      <c r="F467" s="45"/>
      <c r="G467" s="77"/>
      <c r="H467" s="4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76"/>
      <c r="F468" s="45"/>
      <c r="G468" s="77"/>
      <c r="H468" s="4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76"/>
      <c r="F469" s="45"/>
      <c r="G469" s="77"/>
      <c r="H469" s="4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76"/>
      <c r="F470" s="45"/>
      <c r="G470" s="77"/>
      <c r="H470" s="4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76"/>
      <c r="F471" s="45"/>
      <c r="G471" s="77"/>
      <c r="H471" s="4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76"/>
      <c r="F472" s="45"/>
      <c r="G472" s="77"/>
      <c r="H472" s="4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76"/>
      <c r="F473" s="45"/>
      <c r="G473" s="77"/>
      <c r="H473" s="4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76"/>
      <c r="F474" s="45"/>
      <c r="G474" s="77"/>
      <c r="H474" s="4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76"/>
      <c r="F475" s="45"/>
      <c r="G475" s="77"/>
      <c r="H475" s="4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76"/>
      <c r="F476" s="45"/>
      <c r="G476" s="77"/>
      <c r="H476" s="4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76"/>
      <c r="F477" s="45"/>
      <c r="G477" s="77"/>
      <c r="H477" s="4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76"/>
      <c r="F478" s="45"/>
      <c r="G478" s="77"/>
      <c r="H478" s="4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76"/>
      <c r="F479" s="45"/>
      <c r="G479" s="77"/>
      <c r="H479" s="4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76"/>
      <c r="F480" s="45"/>
      <c r="G480" s="77"/>
      <c r="H480" s="4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76"/>
      <c r="F481" s="45"/>
      <c r="G481" s="77"/>
      <c r="H481" s="4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76"/>
      <c r="F482" s="45"/>
      <c r="G482" s="77"/>
      <c r="H482" s="4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76"/>
      <c r="F483" s="45"/>
      <c r="G483" s="77"/>
      <c r="H483" s="4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76"/>
      <c r="F484" s="45"/>
      <c r="G484" s="77"/>
      <c r="H484" s="4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76"/>
      <c r="F485" s="45"/>
      <c r="G485" s="77"/>
      <c r="H485" s="4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76"/>
      <c r="F486" s="45"/>
      <c r="G486" s="77"/>
      <c r="H486" s="4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76"/>
      <c r="F487" s="45"/>
      <c r="G487" s="77"/>
      <c r="H487" s="4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76"/>
      <c r="F488" s="45"/>
      <c r="G488" s="77"/>
      <c r="H488" s="4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76"/>
      <c r="F489" s="45"/>
      <c r="G489" s="77"/>
      <c r="H489" s="4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76"/>
      <c r="F490" s="45"/>
      <c r="G490" s="77"/>
      <c r="H490" s="4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76"/>
      <c r="F491" s="45"/>
      <c r="G491" s="77"/>
      <c r="H491" s="4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76"/>
      <c r="F492" s="45"/>
      <c r="G492" s="77"/>
      <c r="H492" s="4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76"/>
      <c r="F493" s="45"/>
      <c r="G493" s="77"/>
      <c r="H493" s="4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76"/>
      <c r="F494" s="45"/>
      <c r="G494" s="77"/>
      <c r="H494" s="4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76"/>
      <c r="F495" s="45"/>
      <c r="G495" s="77"/>
      <c r="H495" s="4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76"/>
      <c r="F496" s="45"/>
      <c r="G496" s="77"/>
      <c r="H496" s="4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76"/>
      <c r="F497" s="45"/>
      <c r="G497" s="77"/>
      <c r="H497" s="4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76"/>
      <c r="F498" s="45"/>
      <c r="G498" s="77"/>
      <c r="H498" s="4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76"/>
      <c r="F499" s="45"/>
      <c r="G499" s="77"/>
      <c r="H499" s="4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76"/>
      <c r="F500" s="45"/>
      <c r="G500" s="77"/>
      <c r="H500" s="4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76"/>
      <c r="F501" s="45"/>
      <c r="G501" s="77"/>
      <c r="H501" s="4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76"/>
      <c r="F502" s="45"/>
      <c r="G502" s="77"/>
      <c r="H502" s="4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76"/>
      <c r="F503" s="45"/>
      <c r="G503" s="77"/>
      <c r="H503" s="4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76"/>
      <c r="F504" s="45"/>
      <c r="G504" s="77"/>
      <c r="H504" s="4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76"/>
      <c r="F505" s="45"/>
      <c r="G505" s="77"/>
      <c r="H505" s="4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76"/>
      <c r="F506" s="45"/>
      <c r="G506" s="77"/>
      <c r="H506" s="4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76"/>
      <c r="F507" s="45"/>
      <c r="G507" s="77"/>
      <c r="H507" s="4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76"/>
      <c r="F508" s="45"/>
      <c r="G508" s="77"/>
      <c r="H508" s="4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76"/>
      <c r="F509" s="45"/>
      <c r="G509" s="77"/>
      <c r="H509" s="4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76"/>
      <c r="F510" s="45"/>
      <c r="G510" s="77"/>
      <c r="H510" s="4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76"/>
      <c r="F511" s="45"/>
      <c r="G511" s="77"/>
      <c r="H511" s="4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76"/>
      <c r="F512" s="45"/>
      <c r="G512" s="77"/>
      <c r="H512" s="4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76"/>
      <c r="F513" s="45"/>
      <c r="G513" s="77"/>
      <c r="H513" s="4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76"/>
      <c r="F514" s="45"/>
      <c r="G514" s="77"/>
      <c r="H514" s="4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76"/>
      <c r="F515" s="45"/>
      <c r="G515" s="77"/>
      <c r="H515" s="4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76"/>
      <c r="F516" s="45"/>
      <c r="G516" s="77"/>
      <c r="H516" s="4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76"/>
      <c r="F517" s="45"/>
      <c r="G517" s="77"/>
      <c r="H517" s="4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76"/>
      <c r="F518" s="45"/>
      <c r="G518" s="77"/>
      <c r="H518" s="4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76"/>
      <c r="F519" s="45"/>
      <c r="G519" s="77"/>
      <c r="H519" s="4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76"/>
      <c r="F520" s="45"/>
      <c r="G520" s="77"/>
      <c r="H520" s="4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76"/>
      <c r="F521" s="45"/>
      <c r="G521" s="77"/>
      <c r="H521" s="4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76"/>
      <c r="F522" s="45"/>
      <c r="G522" s="77"/>
      <c r="H522" s="4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76"/>
      <c r="F523" s="45"/>
      <c r="G523" s="77"/>
      <c r="H523" s="4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76"/>
      <c r="F524" s="45"/>
      <c r="G524" s="77"/>
      <c r="H524" s="4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76"/>
      <c r="F525" s="45"/>
      <c r="G525" s="77"/>
      <c r="H525" s="4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76"/>
      <c r="F526" s="45"/>
      <c r="G526" s="77"/>
      <c r="H526" s="4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76"/>
      <c r="F527" s="45"/>
      <c r="G527" s="77"/>
      <c r="H527" s="4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76"/>
      <c r="F528" s="45"/>
      <c r="G528" s="77"/>
      <c r="H528" s="4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76"/>
      <c r="F529" s="45"/>
      <c r="G529" s="77"/>
      <c r="H529" s="4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76"/>
      <c r="F530" s="45"/>
      <c r="G530" s="77"/>
      <c r="H530" s="4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76"/>
      <c r="F531" s="45"/>
      <c r="G531" s="77"/>
      <c r="H531" s="4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76"/>
      <c r="F532" s="45"/>
      <c r="G532" s="77"/>
      <c r="H532" s="4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76"/>
      <c r="F533" s="45"/>
      <c r="G533" s="77"/>
      <c r="H533" s="4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76"/>
      <c r="F534" s="45"/>
      <c r="G534" s="77"/>
      <c r="H534" s="4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76"/>
      <c r="F535" s="45"/>
      <c r="G535" s="77"/>
      <c r="H535" s="4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76"/>
      <c r="F536" s="45"/>
      <c r="G536" s="77"/>
      <c r="H536" s="4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76"/>
      <c r="F537" s="45"/>
      <c r="G537" s="77"/>
      <c r="H537" s="4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76"/>
      <c r="F538" s="45"/>
      <c r="G538" s="77"/>
      <c r="H538" s="4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76"/>
      <c r="F539" s="45"/>
      <c r="G539" s="77"/>
      <c r="H539" s="4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76"/>
      <c r="F540" s="45"/>
      <c r="G540" s="77"/>
      <c r="H540" s="4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76"/>
      <c r="F541" s="45"/>
      <c r="G541" s="77"/>
      <c r="H541" s="4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76"/>
      <c r="F542" s="45"/>
      <c r="G542" s="77"/>
      <c r="H542" s="4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76"/>
      <c r="F543" s="45"/>
      <c r="G543" s="77"/>
      <c r="H543" s="4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76"/>
      <c r="F544" s="45"/>
      <c r="G544" s="77"/>
      <c r="H544" s="4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76"/>
      <c r="F545" s="45"/>
      <c r="G545" s="77"/>
      <c r="H545" s="4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76"/>
      <c r="F546" s="45"/>
      <c r="G546" s="77"/>
      <c r="H546" s="4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76"/>
      <c r="F547" s="45"/>
      <c r="G547" s="77"/>
      <c r="H547" s="4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76"/>
      <c r="F548" s="45"/>
      <c r="G548" s="77"/>
      <c r="H548" s="4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76"/>
      <c r="F549" s="45"/>
      <c r="G549" s="77"/>
      <c r="H549" s="4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76"/>
      <c r="F550" s="45"/>
      <c r="G550" s="77"/>
      <c r="H550" s="4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76"/>
      <c r="F551" s="45"/>
      <c r="G551" s="77"/>
      <c r="H551" s="4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76"/>
      <c r="F552" s="45"/>
      <c r="G552" s="77"/>
      <c r="H552" s="4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76"/>
      <c r="F553" s="45"/>
      <c r="G553" s="77"/>
      <c r="H553" s="4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76"/>
      <c r="F554" s="45"/>
      <c r="G554" s="77"/>
      <c r="H554" s="4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76"/>
      <c r="F555" s="45"/>
      <c r="G555" s="77"/>
      <c r="H555" s="4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76"/>
      <c r="F556" s="45"/>
      <c r="G556" s="77"/>
      <c r="H556" s="4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76"/>
      <c r="F557" s="45"/>
      <c r="G557" s="77"/>
      <c r="H557" s="4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76"/>
      <c r="F558" s="45"/>
      <c r="G558" s="77"/>
      <c r="H558" s="4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76"/>
      <c r="F559" s="45"/>
      <c r="G559" s="77"/>
      <c r="H559" s="4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76"/>
      <c r="F560" s="45"/>
      <c r="G560" s="77"/>
      <c r="H560" s="4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76"/>
      <c r="F561" s="45"/>
      <c r="G561" s="77"/>
      <c r="H561" s="4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76"/>
      <c r="F562" s="45"/>
      <c r="G562" s="77"/>
      <c r="H562" s="4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76"/>
      <c r="F563" s="45"/>
      <c r="G563" s="77"/>
      <c r="H563" s="4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76"/>
      <c r="F564" s="45"/>
      <c r="G564" s="77"/>
      <c r="H564" s="4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76"/>
      <c r="F565" s="45"/>
      <c r="G565" s="77"/>
      <c r="H565" s="4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76"/>
      <c r="F566" s="45"/>
      <c r="G566" s="77"/>
      <c r="H566" s="4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76"/>
      <c r="F567" s="45"/>
      <c r="G567" s="77"/>
      <c r="H567" s="4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76"/>
      <c r="F568" s="45"/>
      <c r="G568" s="77"/>
      <c r="H568" s="4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76"/>
      <c r="F569" s="45"/>
      <c r="G569" s="77"/>
      <c r="H569" s="4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76"/>
      <c r="F570" s="45"/>
      <c r="G570" s="77"/>
      <c r="H570" s="4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76"/>
      <c r="F571" s="45"/>
      <c r="G571" s="77"/>
      <c r="H571" s="4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76"/>
      <c r="F572" s="45"/>
      <c r="G572" s="77"/>
      <c r="H572" s="4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76"/>
      <c r="F573" s="45"/>
      <c r="G573" s="77"/>
      <c r="H573" s="4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76"/>
      <c r="F574" s="45"/>
      <c r="G574" s="77"/>
      <c r="H574" s="4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76"/>
      <c r="F575" s="45"/>
      <c r="G575" s="77"/>
      <c r="H575" s="4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76"/>
      <c r="F576" s="45"/>
      <c r="G576" s="77"/>
      <c r="H576" s="4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76"/>
      <c r="F577" s="45"/>
      <c r="G577" s="77"/>
      <c r="H577" s="4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76"/>
      <c r="F578" s="45"/>
      <c r="G578" s="77"/>
      <c r="H578" s="4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76"/>
      <c r="F579" s="45"/>
      <c r="G579" s="77"/>
      <c r="H579" s="4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76"/>
      <c r="F580" s="45"/>
      <c r="G580" s="77"/>
      <c r="H580" s="4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76"/>
      <c r="F581" s="45"/>
      <c r="G581" s="77"/>
      <c r="H581" s="4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76"/>
      <c r="F582" s="45"/>
      <c r="G582" s="77"/>
      <c r="H582" s="4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76"/>
      <c r="F583" s="45"/>
      <c r="G583" s="77"/>
      <c r="H583" s="4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76"/>
      <c r="F584" s="45"/>
      <c r="G584" s="77"/>
      <c r="H584" s="4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76"/>
      <c r="F585" s="45"/>
      <c r="G585" s="77"/>
      <c r="H585" s="4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76"/>
      <c r="F586" s="45"/>
      <c r="G586" s="77"/>
      <c r="H586" s="4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76"/>
      <c r="F587" s="45"/>
      <c r="G587" s="77"/>
      <c r="H587" s="4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76"/>
      <c r="F588" s="45"/>
      <c r="G588" s="77"/>
      <c r="H588" s="4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76"/>
      <c r="F589" s="45"/>
      <c r="G589" s="77"/>
      <c r="H589" s="4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76"/>
      <c r="F590" s="45"/>
      <c r="G590" s="77"/>
      <c r="H590" s="4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76"/>
      <c r="F591" s="45"/>
      <c r="G591" s="77"/>
      <c r="H591" s="4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76"/>
      <c r="F592" s="45"/>
      <c r="G592" s="77"/>
      <c r="H592" s="4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76"/>
      <c r="F593" s="45"/>
      <c r="G593" s="77"/>
      <c r="H593" s="4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76"/>
      <c r="F594" s="45"/>
      <c r="G594" s="77"/>
      <c r="H594" s="4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76"/>
      <c r="F595" s="45"/>
      <c r="G595" s="77"/>
      <c r="H595" s="4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76"/>
      <c r="F596" s="45"/>
      <c r="G596" s="77"/>
      <c r="H596" s="4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76"/>
      <c r="F597" s="45"/>
      <c r="G597" s="77"/>
      <c r="H597" s="4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76"/>
      <c r="F598" s="45"/>
      <c r="G598" s="77"/>
      <c r="H598" s="4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76"/>
      <c r="F599" s="45"/>
      <c r="G599" s="77"/>
      <c r="H599" s="4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76"/>
      <c r="F600" s="45"/>
      <c r="G600" s="77"/>
      <c r="H600" s="4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76"/>
      <c r="F601" s="45"/>
      <c r="G601" s="77"/>
      <c r="H601" s="4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76"/>
      <c r="F602" s="45"/>
      <c r="G602" s="77"/>
      <c r="H602" s="4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76"/>
      <c r="F603" s="45"/>
      <c r="G603" s="77"/>
      <c r="H603" s="4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76"/>
      <c r="F604" s="45"/>
      <c r="G604" s="77"/>
      <c r="H604" s="4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76"/>
      <c r="F605" s="45"/>
      <c r="G605" s="77"/>
      <c r="H605" s="4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76"/>
      <c r="F606" s="45"/>
      <c r="G606" s="77"/>
      <c r="H606" s="4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76"/>
      <c r="F607" s="45"/>
      <c r="G607" s="77"/>
      <c r="H607" s="4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76"/>
      <c r="F608" s="45"/>
      <c r="G608" s="77"/>
      <c r="H608" s="4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76"/>
      <c r="F609" s="45"/>
      <c r="G609" s="77"/>
      <c r="H609" s="4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76"/>
      <c r="F610" s="45"/>
      <c r="G610" s="77"/>
      <c r="H610" s="4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76"/>
      <c r="F611" s="45"/>
      <c r="G611" s="77"/>
      <c r="H611" s="4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76"/>
      <c r="F612" s="45"/>
      <c r="G612" s="77"/>
      <c r="H612" s="4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76"/>
      <c r="F613" s="45"/>
      <c r="G613" s="77"/>
      <c r="H613" s="4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76"/>
      <c r="F614" s="45"/>
      <c r="G614" s="77"/>
      <c r="H614" s="4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76"/>
      <c r="F615" s="45"/>
      <c r="G615" s="77"/>
      <c r="H615" s="4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76"/>
      <c r="F616" s="45"/>
      <c r="G616" s="77"/>
      <c r="H616" s="4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76"/>
      <c r="F617" s="45"/>
      <c r="G617" s="77"/>
      <c r="H617" s="4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76"/>
      <c r="F618" s="45"/>
      <c r="G618" s="77"/>
      <c r="H618" s="4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76"/>
      <c r="F619" s="45"/>
      <c r="G619" s="77"/>
      <c r="H619" s="4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76"/>
      <c r="F620" s="45"/>
      <c r="G620" s="77"/>
      <c r="H620" s="4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76"/>
      <c r="F621" s="45"/>
      <c r="G621" s="77"/>
      <c r="H621" s="4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76"/>
      <c r="F622" s="45"/>
      <c r="G622" s="77"/>
      <c r="H622" s="4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76"/>
      <c r="F623" s="45"/>
      <c r="G623" s="77"/>
      <c r="H623" s="4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76"/>
      <c r="F624" s="45"/>
      <c r="G624" s="77"/>
      <c r="H624" s="4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76"/>
      <c r="F625" s="45"/>
      <c r="G625" s="77"/>
      <c r="H625" s="4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76"/>
      <c r="F626" s="45"/>
      <c r="G626" s="77"/>
      <c r="H626" s="4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76"/>
      <c r="F627" s="45"/>
      <c r="G627" s="77"/>
      <c r="H627" s="4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76"/>
      <c r="F628" s="45"/>
      <c r="G628" s="77"/>
      <c r="H628" s="4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76"/>
      <c r="F629" s="45"/>
      <c r="G629" s="77"/>
      <c r="H629" s="4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76"/>
      <c r="F630" s="45"/>
      <c r="G630" s="77"/>
      <c r="H630" s="4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76"/>
      <c r="F631" s="45"/>
      <c r="G631" s="77"/>
      <c r="H631" s="4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76"/>
      <c r="F632" s="45"/>
      <c r="G632" s="77"/>
      <c r="H632" s="4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76"/>
      <c r="F633" s="45"/>
      <c r="G633" s="77"/>
      <c r="H633" s="4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76"/>
      <c r="F634" s="45"/>
      <c r="G634" s="77"/>
      <c r="H634" s="4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76"/>
      <c r="F635" s="45"/>
      <c r="G635" s="77"/>
      <c r="H635" s="4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76"/>
      <c r="F636" s="45"/>
      <c r="G636" s="77"/>
      <c r="H636" s="4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76"/>
      <c r="F637" s="45"/>
      <c r="G637" s="77"/>
      <c r="H637" s="4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76"/>
      <c r="F638" s="45"/>
      <c r="G638" s="77"/>
      <c r="H638" s="4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76"/>
      <c r="F639" s="45"/>
      <c r="G639" s="77"/>
      <c r="H639" s="4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76"/>
      <c r="F640" s="45"/>
      <c r="G640" s="77"/>
      <c r="H640" s="4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76"/>
      <c r="F641" s="45"/>
      <c r="G641" s="77"/>
      <c r="H641" s="4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76"/>
      <c r="F642" s="45"/>
      <c r="G642" s="77"/>
      <c r="H642" s="4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76"/>
      <c r="F643" s="45"/>
      <c r="G643" s="77"/>
      <c r="H643" s="4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76"/>
      <c r="F644" s="45"/>
      <c r="G644" s="77"/>
      <c r="H644" s="4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76"/>
      <c r="F645" s="45"/>
      <c r="G645" s="77"/>
      <c r="H645" s="4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76"/>
      <c r="F646" s="45"/>
      <c r="G646" s="77"/>
      <c r="H646" s="4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76"/>
      <c r="F647" s="45"/>
      <c r="G647" s="77"/>
      <c r="H647" s="4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76"/>
      <c r="F648" s="45"/>
      <c r="G648" s="77"/>
      <c r="H648" s="4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76"/>
      <c r="F649" s="45"/>
      <c r="G649" s="77"/>
      <c r="H649" s="4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76"/>
      <c r="F650" s="45"/>
      <c r="G650" s="77"/>
      <c r="H650" s="4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76"/>
      <c r="F651" s="45"/>
      <c r="G651" s="77"/>
      <c r="H651" s="4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76"/>
      <c r="F652" s="45"/>
      <c r="G652" s="77"/>
      <c r="H652" s="4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76"/>
      <c r="F653" s="45"/>
      <c r="G653" s="77"/>
      <c r="H653" s="4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76"/>
      <c r="F654" s="45"/>
      <c r="G654" s="77"/>
      <c r="H654" s="4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76"/>
      <c r="F655" s="45"/>
      <c r="G655" s="77"/>
      <c r="H655" s="4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76"/>
      <c r="F656" s="45"/>
      <c r="G656" s="77"/>
      <c r="H656" s="4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76"/>
      <c r="F657" s="45"/>
      <c r="G657" s="77"/>
      <c r="H657" s="4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76"/>
      <c r="F658" s="45"/>
      <c r="G658" s="77"/>
      <c r="H658" s="4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76"/>
      <c r="F659" s="45"/>
      <c r="G659" s="77"/>
      <c r="H659" s="4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76"/>
      <c r="F660" s="45"/>
      <c r="G660" s="77"/>
      <c r="H660" s="4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76"/>
      <c r="F661" s="45"/>
      <c r="G661" s="77"/>
      <c r="H661" s="4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76"/>
      <c r="F662" s="45"/>
      <c r="G662" s="77"/>
      <c r="H662" s="4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76"/>
      <c r="F663" s="45"/>
      <c r="G663" s="77"/>
      <c r="H663" s="4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76"/>
      <c r="F664" s="45"/>
      <c r="G664" s="77"/>
      <c r="H664" s="4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76"/>
      <c r="F665" s="45"/>
      <c r="G665" s="77"/>
      <c r="H665" s="4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76"/>
      <c r="F666" s="45"/>
      <c r="G666" s="77"/>
      <c r="H666" s="4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76"/>
      <c r="F667" s="45"/>
      <c r="G667" s="77"/>
      <c r="H667" s="4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76"/>
      <c r="F668" s="45"/>
      <c r="G668" s="77"/>
      <c r="H668" s="4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76"/>
      <c r="F669" s="45"/>
      <c r="G669" s="77"/>
      <c r="H669" s="4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76"/>
      <c r="F670" s="45"/>
      <c r="G670" s="77"/>
      <c r="H670" s="4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76"/>
      <c r="F671" s="45"/>
      <c r="G671" s="77"/>
      <c r="H671" s="4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76"/>
      <c r="F672" s="45"/>
      <c r="G672" s="77"/>
      <c r="H672" s="4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76"/>
      <c r="F673" s="45"/>
      <c r="G673" s="77"/>
      <c r="H673" s="4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76"/>
      <c r="F674" s="45"/>
      <c r="G674" s="77"/>
      <c r="H674" s="4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76"/>
      <c r="F675" s="45"/>
      <c r="G675" s="77"/>
      <c r="H675" s="4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76"/>
      <c r="F676" s="45"/>
      <c r="G676" s="77"/>
      <c r="H676" s="4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76"/>
      <c r="F677" s="45"/>
      <c r="G677" s="77"/>
      <c r="H677" s="4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76"/>
      <c r="F678" s="45"/>
      <c r="G678" s="77"/>
      <c r="H678" s="4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76"/>
      <c r="F679" s="45"/>
      <c r="G679" s="77"/>
      <c r="H679" s="4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76"/>
      <c r="F680" s="45"/>
      <c r="G680" s="77"/>
      <c r="H680" s="4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76"/>
      <c r="F681" s="45"/>
      <c r="G681" s="77"/>
      <c r="H681" s="4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76"/>
      <c r="F682" s="45"/>
      <c r="G682" s="77"/>
      <c r="H682" s="4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76"/>
      <c r="F683" s="45"/>
      <c r="G683" s="77"/>
      <c r="H683" s="4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76"/>
      <c r="F684" s="45"/>
      <c r="G684" s="77"/>
      <c r="H684" s="4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76"/>
      <c r="F685" s="45"/>
      <c r="G685" s="77"/>
      <c r="H685" s="4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76"/>
      <c r="F686" s="45"/>
      <c r="G686" s="77"/>
      <c r="H686" s="4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76"/>
      <c r="F687" s="45"/>
      <c r="G687" s="77"/>
      <c r="H687" s="4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76"/>
      <c r="F688" s="45"/>
      <c r="G688" s="77"/>
      <c r="H688" s="4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76"/>
      <c r="F689" s="45"/>
      <c r="G689" s="77"/>
      <c r="H689" s="4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76"/>
      <c r="F690" s="45"/>
      <c r="G690" s="77"/>
      <c r="H690" s="4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76"/>
      <c r="F691" s="45"/>
      <c r="G691" s="77"/>
      <c r="H691" s="4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76"/>
      <c r="F692" s="45"/>
      <c r="G692" s="77"/>
      <c r="H692" s="4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76"/>
      <c r="F693" s="45"/>
      <c r="G693" s="77"/>
      <c r="H693" s="4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76"/>
      <c r="F694" s="45"/>
      <c r="G694" s="77"/>
      <c r="H694" s="4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76"/>
      <c r="F695" s="45"/>
      <c r="G695" s="77"/>
      <c r="H695" s="4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76"/>
      <c r="F696" s="45"/>
      <c r="G696" s="77"/>
      <c r="H696" s="4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76"/>
      <c r="F697" s="45"/>
      <c r="G697" s="77"/>
      <c r="H697" s="4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76"/>
      <c r="F698" s="45"/>
      <c r="G698" s="77"/>
      <c r="H698" s="4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76"/>
      <c r="F699" s="45"/>
      <c r="G699" s="77"/>
      <c r="H699" s="4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76"/>
      <c r="F700" s="45"/>
      <c r="G700" s="77"/>
      <c r="H700" s="4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76"/>
      <c r="F701" s="45"/>
      <c r="G701" s="77"/>
      <c r="H701" s="4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76"/>
      <c r="F702" s="45"/>
      <c r="G702" s="77"/>
      <c r="H702" s="4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76"/>
      <c r="F703" s="45"/>
      <c r="G703" s="77"/>
      <c r="H703" s="4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76"/>
      <c r="F704" s="45"/>
      <c r="G704" s="77"/>
      <c r="H704" s="4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76"/>
      <c r="F705" s="45"/>
      <c r="G705" s="77"/>
      <c r="H705" s="4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76"/>
      <c r="F706" s="45"/>
      <c r="G706" s="77"/>
      <c r="H706" s="4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76"/>
      <c r="F707" s="45"/>
      <c r="G707" s="77"/>
      <c r="H707" s="4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76"/>
      <c r="F708" s="45"/>
      <c r="G708" s="77"/>
      <c r="H708" s="4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76"/>
      <c r="F709" s="45"/>
      <c r="G709" s="77"/>
      <c r="H709" s="4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76"/>
      <c r="F710" s="45"/>
      <c r="G710" s="77"/>
      <c r="H710" s="4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76"/>
      <c r="F711" s="45"/>
      <c r="G711" s="77"/>
      <c r="H711" s="4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76"/>
      <c r="F712" s="45"/>
      <c r="G712" s="77"/>
      <c r="H712" s="4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76"/>
      <c r="F713" s="45"/>
      <c r="G713" s="77"/>
      <c r="H713" s="4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76"/>
      <c r="F714" s="45"/>
      <c r="G714" s="77"/>
      <c r="H714" s="4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76"/>
      <c r="F715" s="45"/>
      <c r="G715" s="77"/>
      <c r="H715" s="4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76"/>
      <c r="F716" s="45"/>
      <c r="G716" s="77"/>
      <c r="H716" s="4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76"/>
      <c r="F717" s="45"/>
      <c r="G717" s="77"/>
      <c r="H717" s="4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76"/>
      <c r="F718" s="45"/>
      <c r="G718" s="77"/>
      <c r="H718" s="4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76"/>
      <c r="F719" s="45"/>
      <c r="G719" s="77"/>
      <c r="H719" s="4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76"/>
      <c r="F720" s="45"/>
      <c r="G720" s="77"/>
      <c r="H720" s="4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76"/>
      <c r="F721" s="45"/>
      <c r="G721" s="77"/>
      <c r="H721" s="4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76"/>
      <c r="F722" s="45"/>
      <c r="G722" s="77"/>
      <c r="H722" s="4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76"/>
      <c r="F723" s="45"/>
      <c r="G723" s="77"/>
      <c r="H723" s="4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76"/>
      <c r="F724" s="45"/>
      <c r="G724" s="77"/>
      <c r="H724" s="4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76"/>
      <c r="F725" s="45"/>
      <c r="G725" s="77"/>
      <c r="H725" s="4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76"/>
      <c r="F726" s="45"/>
      <c r="G726" s="77"/>
      <c r="H726" s="4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76"/>
      <c r="F727" s="45"/>
      <c r="G727" s="77"/>
      <c r="H727" s="4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76"/>
      <c r="F728" s="45"/>
      <c r="G728" s="77"/>
      <c r="H728" s="4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76"/>
      <c r="F729" s="45"/>
      <c r="G729" s="77"/>
      <c r="H729" s="4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76"/>
      <c r="F730" s="45"/>
      <c r="G730" s="77"/>
      <c r="H730" s="4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76"/>
      <c r="F731" s="45"/>
      <c r="G731" s="77"/>
      <c r="H731" s="4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76"/>
      <c r="F732" s="45"/>
      <c r="G732" s="77"/>
      <c r="H732" s="4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76"/>
      <c r="F733" s="45"/>
      <c r="G733" s="77"/>
      <c r="H733" s="4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76"/>
      <c r="F734" s="45"/>
      <c r="G734" s="77"/>
      <c r="H734" s="4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76"/>
      <c r="F735" s="45"/>
      <c r="G735" s="77"/>
      <c r="H735" s="4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76"/>
      <c r="F736" s="45"/>
      <c r="G736" s="77"/>
      <c r="H736" s="4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76"/>
      <c r="F737" s="45"/>
      <c r="G737" s="77"/>
      <c r="H737" s="4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76"/>
      <c r="F738" s="45"/>
      <c r="G738" s="77"/>
      <c r="H738" s="4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76"/>
      <c r="F739" s="45"/>
      <c r="G739" s="77"/>
      <c r="H739" s="4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76"/>
      <c r="F740" s="45"/>
      <c r="G740" s="77"/>
      <c r="H740" s="4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76"/>
      <c r="F741" s="45"/>
      <c r="G741" s="77"/>
      <c r="H741" s="4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76"/>
      <c r="F742" s="45"/>
      <c r="G742" s="77"/>
      <c r="H742" s="4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76"/>
      <c r="F743" s="45"/>
      <c r="G743" s="77"/>
      <c r="H743" s="4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76"/>
      <c r="F744" s="45"/>
      <c r="G744" s="77"/>
      <c r="H744" s="4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76"/>
      <c r="F745" s="45"/>
      <c r="G745" s="77"/>
      <c r="H745" s="4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76"/>
      <c r="F746" s="45"/>
      <c r="G746" s="77"/>
      <c r="H746" s="4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76"/>
      <c r="F747" s="45"/>
      <c r="G747" s="77"/>
      <c r="H747" s="4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76"/>
      <c r="F748" s="45"/>
      <c r="G748" s="77"/>
      <c r="H748" s="4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76"/>
      <c r="F749" s="45"/>
      <c r="G749" s="77"/>
      <c r="H749" s="4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76"/>
      <c r="F750" s="45"/>
      <c r="G750" s="77"/>
      <c r="H750" s="4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76"/>
      <c r="F751" s="45"/>
      <c r="G751" s="77"/>
      <c r="H751" s="4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76"/>
      <c r="F752" s="45"/>
      <c r="G752" s="77"/>
      <c r="H752" s="4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76"/>
      <c r="F753" s="45"/>
      <c r="G753" s="77"/>
      <c r="H753" s="4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76"/>
      <c r="F754" s="45"/>
      <c r="G754" s="77"/>
      <c r="H754" s="4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76"/>
      <c r="F755" s="45"/>
      <c r="G755" s="77"/>
      <c r="H755" s="4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76"/>
      <c r="F756" s="45"/>
      <c r="G756" s="77"/>
      <c r="H756" s="4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76"/>
      <c r="F757" s="45"/>
      <c r="G757" s="77"/>
      <c r="H757" s="4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76"/>
      <c r="F758" s="45"/>
      <c r="G758" s="77"/>
      <c r="H758" s="4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76"/>
      <c r="F759" s="45"/>
      <c r="G759" s="77"/>
      <c r="H759" s="4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76"/>
      <c r="F760" s="45"/>
      <c r="G760" s="77"/>
      <c r="H760" s="4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76"/>
      <c r="F761" s="45"/>
      <c r="G761" s="77"/>
      <c r="H761" s="4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76"/>
      <c r="F762" s="45"/>
      <c r="G762" s="77"/>
      <c r="H762" s="4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76"/>
      <c r="F763" s="45"/>
      <c r="G763" s="77"/>
      <c r="H763" s="4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76"/>
      <c r="F764" s="45"/>
      <c r="G764" s="77"/>
      <c r="H764" s="4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76"/>
      <c r="F765" s="45"/>
      <c r="G765" s="77"/>
      <c r="H765" s="4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76"/>
      <c r="F766" s="45"/>
      <c r="G766" s="77"/>
      <c r="H766" s="4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76"/>
      <c r="F767" s="45"/>
      <c r="G767" s="77"/>
      <c r="H767" s="4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76"/>
      <c r="F768" s="45"/>
      <c r="G768" s="77"/>
      <c r="H768" s="4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76"/>
      <c r="F769" s="45"/>
      <c r="G769" s="77"/>
      <c r="H769" s="4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76"/>
      <c r="F770" s="45"/>
      <c r="G770" s="77"/>
      <c r="H770" s="4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76"/>
      <c r="F771" s="45"/>
      <c r="G771" s="77"/>
      <c r="H771" s="4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76"/>
      <c r="F772" s="45"/>
      <c r="G772" s="77"/>
      <c r="H772" s="4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76"/>
      <c r="F773" s="45"/>
      <c r="G773" s="77"/>
      <c r="H773" s="4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76"/>
      <c r="F774" s="45"/>
      <c r="G774" s="77"/>
      <c r="H774" s="4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76"/>
      <c r="F775" s="45"/>
      <c r="G775" s="77"/>
      <c r="H775" s="4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76"/>
      <c r="F776" s="45"/>
      <c r="G776" s="77"/>
      <c r="H776" s="4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76"/>
      <c r="F777" s="45"/>
      <c r="G777" s="77"/>
      <c r="H777" s="4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76"/>
      <c r="F778" s="45"/>
      <c r="G778" s="77"/>
      <c r="H778" s="4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76"/>
      <c r="F779" s="45"/>
      <c r="G779" s="77"/>
      <c r="H779" s="4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76"/>
      <c r="F780" s="45"/>
      <c r="G780" s="77"/>
      <c r="H780" s="4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76"/>
      <c r="F781" s="45"/>
      <c r="G781" s="77"/>
      <c r="H781" s="4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76"/>
      <c r="F782" s="45"/>
      <c r="G782" s="77"/>
      <c r="H782" s="4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76"/>
      <c r="F783" s="45"/>
      <c r="G783" s="77"/>
      <c r="H783" s="4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76"/>
      <c r="F784" s="45"/>
      <c r="G784" s="77"/>
      <c r="H784" s="4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76"/>
      <c r="F785" s="45"/>
      <c r="G785" s="77"/>
      <c r="H785" s="4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76"/>
      <c r="F786" s="45"/>
      <c r="G786" s="77"/>
      <c r="H786" s="4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76"/>
      <c r="F787" s="45"/>
      <c r="G787" s="77"/>
      <c r="H787" s="4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76"/>
      <c r="F788" s="45"/>
      <c r="G788" s="77"/>
      <c r="H788" s="4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76"/>
      <c r="F789" s="45"/>
      <c r="G789" s="77"/>
      <c r="H789" s="4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76"/>
      <c r="F790" s="45"/>
      <c r="G790" s="77"/>
      <c r="H790" s="4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76"/>
      <c r="F791" s="45"/>
      <c r="G791" s="77"/>
      <c r="H791" s="4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76"/>
      <c r="F792" s="45"/>
      <c r="G792" s="77"/>
      <c r="H792" s="4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76"/>
      <c r="F793" s="45"/>
      <c r="G793" s="77"/>
      <c r="H793" s="4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76"/>
      <c r="F794" s="45"/>
      <c r="G794" s="77"/>
      <c r="H794" s="4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76"/>
      <c r="F795" s="45"/>
      <c r="G795" s="77"/>
      <c r="H795" s="4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76"/>
      <c r="F796" s="45"/>
      <c r="G796" s="77"/>
      <c r="H796" s="4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76"/>
      <c r="F797" s="45"/>
      <c r="G797" s="77"/>
      <c r="H797" s="4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76"/>
      <c r="F798" s="45"/>
      <c r="G798" s="77"/>
      <c r="H798" s="4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76"/>
      <c r="F799" s="45"/>
      <c r="G799" s="77"/>
      <c r="H799" s="4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76"/>
      <c r="F800" s="45"/>
      <c r="G800" s="77"/>
      <c r="H800" s="4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76"/>
      <c r="F801" s="45"/>
      <c r="G801" s="77"/>
      <c r="H801" s="4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76"/>
      <c r="F802" s="45"/>
      <c r="G802" s="77"/>
      <c r="H802" s="4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76"/>
      <c r="F803" s="45"/>
      <c r="G803" s="77"/>
      <c r="H803" s="4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76"/>
      <c r="F804" s="45"/>
      <c r="G804" s="77"/>
      <c r="H804" s="4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76"/>
      <c r="F805" s="45"/>
      <c r="G805" s="77"/>
      <c r="H805" s="4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76"/>
      <c r="F806" s="45"/>
      <c r="G806" s="77"/>
      <c r="H806" s="4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76"/>
      <c r="F807" s="45"/>
      <c r="G807" s="77"/>
      <c r="H807" s="4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76"/>
      <c r="F808" s="45"/>
      <c r="G808" s="77"/>
      <c r="H808" s="4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76"/>
      <c r="F809" s="45"/>
      <c r="G809" s="77"/>
      <c r="H809" s="4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76"/>
      <c r="F810" s="45"/>
      <c r="G810" s="77"/>
      <c r="H810" s="4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76"/>
      <c r="F811" s="45"/>
      <c r="G811" s="77"/>
      <c r="H811" s="4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76"/>
      <c r="F812" s="45"/>
      <c r="G812" s="77"/>
      <c r="H812" s="4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76"/>
      <c r="F813" s="45"/>
      <c r="G813" s="77"/>
      <c r="H813" s="4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76"/>
      <c r="F814" s="45"/>
      <c r="G814" s="77"/>
      <c r="H814" s="4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76"/>
      <c r="F815" s="45"/>
      <c r="G815" s="77"/>
      <c r="H815" s="4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76"/>
      <c r="F816" s="45"/>
      <c r="G816" s="77"/>
      <c r="H816" s="4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76"/>
      <c r="F817" s="45"/>
      <c r="G817" s="77"/>
      <c r="H817" s="4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76"/>
      <c r="F818" s="45"/>
      <c r="G818" s="77"/>
      <c r="H818" s="4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76"/>
      <c r="F819" s="45"/>
      <c r="G819" s="77"/>
      <c r="H819" s="4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76"/>
      <c r="F820" s="45"/>
      <c r="G820" s="77"/>
      <c r="H820" s="4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76"/>
      <c r="F821" s="45"/>
      <c r="G821" s="77"/>
      <c r="H821" s="4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76"/>
      <c r="F822" s="45"/>
      <c r="G822" s="77"/>
      <c r="H822" s="4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76"/>
      <c r="F823" s="45"/>
      <c r="G823" s="77"/>
      <c r="H823" s="4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76"/>
      <c r="F824" s="45"/>
      <c r="G824" s="77"/>
      <c r="H824" s="4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76"/>
      <c r="F825" s="45"/>
      <c r="G825" s="77"/>
      <c r="H825" s="4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76"/>
      <c r="F826" s="45"/>
      <c r="G826" s="77"/>
      <c r="H826" s="4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76"/>
      <c r="F827" s="45"/>
      <c r="G827" s="77"/>
      <c r="H827" s="4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76"/>
      <c r="F828" s="45"/>
      <c r="G828" s="77"/>
      <c r="H828" s="4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76"/>
      <c r="F829" s="45"/>
      <c r="G829" s="77"/>
      <c r="H829" s="4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76"/>
      <c r="F830" s="45"/>
      <c r="G830" s="77"/>
      <c r="H830" s="4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76"/>
      <c r="F831" s="45"/>
      <c r="G831" s="77"/>
      <c r="H831" s="4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76"/>
      <c r="F832" s="45"/>
      <c r="G832" s="77"/>
      <c r="H832" s="4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76"/>
      <c r="F833" s="45"/>
      <c r="G833" s="77"/>
      <c r="H833" s="4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76"/>
      <c r="F834" s="45"/>
      <c r="G834" s="77"/>
      <c r="H834" s="4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76"/>
      <c r="F835" s="45"/>
      <c r="G835" s="77"/>
      <c r="H835" s="4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76"/>
      <c r="F836" s="45"/>
      <c r="G836" s="77"/>
      <c r="H836" s="4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76"/>
      <c r="F837" s="45"/>
      <c r="G837" s="77"/>
      <c r="H837" s="4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76"/>
      <c r="F838" s="45"/>
      <c r="G838" s="77"/>
      <c r="H838" s="4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76"/>
      <c r="F839" s="45"/>
      <c r="G839" s="77"/>
      <c r="H839" s="4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76"/>
      <c r="F840" s="45"/>
      <c r="G840" s="77"/>
      <c r="H840" s="4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76"/>
      <c r="F841" s="45"/>
      <c r="G841" s="77"/>
      <c r="H841" s="4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76"/>
      <c r="F842" s="45"/>
      <c r="G842" s="77"/>
      <c r="H842" s="4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76"/>
      <c r="F843" s="45"/>
      <c r="G843" s="77"/>
      <c r="H843" s="4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76"/>
      <c r="F844" s="45"/>
      <c r="G844" s="77"/>
      <c r="H844" s="4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76"/>
      <c r="F845" s="45"/>
      <c r="G845" s="77"/>
      <c r="H845" s="4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76"/>
      <c r="F846" s="45"/>
      <c r="G846" s="77"/>
      <c r="H846" s="4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76"/>
      <c r="F847" s="45"/>
      <c r="G847" s="77"/>
      <c r="H847" s="4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76"/>
      <c r="F848" s="45"/>
      <c r="G848" s="77"/>
      <c r="H848" s="4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76"/>
      <c r="F849" s="45"/>
      <c r="G849" s="77"/>
      <c r="H849" s="4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76"/>
      <c r="F850" s="45"/>
      <c r="G850" s="77"/>
      <c r="H850" s="4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76"/>
      <c r="F851" s="45"/>
      <c r="G851" s="77"/>
      <c r="H851" s="4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76"/>
      <c r="F852" s="45"/>
      <c r="G852" s="77"/>
      <c r="H852" s="4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76"/>
      <c r="F853" s="45"/>
      <c r="G853" s="77"/>
      <c r="H853" s="4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76"/>
      <c r="F854" s="45"/>
      <c r="G854" s="77"/>
      <c r="H854" s="4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76"/>
      <c r="F855" s="45"/>
      <c r="G855" s="77"/>
      <c r="H855" s="4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76"/>
      <c r="F856" s="45"/>
      <c r="G856" s="77"/>
      <c r="H856" s="4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76"/>
      <c r="F857" s="45"/>
      <c r="G857" s="77"/>
      <c r="H857" s="4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76"/>
      <c r="F858" s="45"/>
      <c r="G858" s="77"/>
      <c r="H858" s="4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76"/>
      <c r="F859" s="45"/>
      <c r="G859" s="77"/>
      <c r="H859" s="4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76"/>
      <c r="F860" s="45"/>
      <c r="G860" s="77"/>
      <c r="H860" s="4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76"/>
      <c r="F861" s="45"/>
      <c r="G861" s="77"/>
      <c r="H861" s="4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76"/>
      <c r="F862" s="45"/>
      <c r="G862" s="77"/>
      <c r="H862" s="4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76"/>
      <c r="F863" s="45"/>
      <c r="G863" s="77"/>
      <c r="H863" s="4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76"/>
      <c r="F864" s="45"/>
      <c r="G864" s="77"/>
      <c r="H864" s="4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76"/>
      <c r="F865" s="45"/>
      <c r="G865" s="77"/>
      <c r="H865" s="4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76"/>
      <c r="F866" s="45"/>
      <c r="G866" s="77"/>
      <c r="H866" s="4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76"/>
      <c r="F867" s="45"/>
      <c r="G867" s="77"/>
      <c r="H867" s="4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76"/>
      <c r="F868" s="45"/>
      <c r="G868" s="77"/>
      <c r="H868" s="4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76"/>
      <c r="F869" s="45"/>
      <c r="G869" s="77"/>
      <c r="H869" s="4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76"/>
      <c r="F870" s="45"/>
      <c r="G870" s="77"/>
      <c r="H870" s="4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76"/>
      <c r="F871" s="45"/>
      <c r="G871" s="77"/>
      <c r="H871" s="4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76"/>
      <c r="F872" s="45"/>
      <c r="G872" s="77"/>
      <c r="H872" s="4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76"/>
      <c r="F873" s="45"/>
      <c r="G873" s="77"/>
      <c r="H873" s="4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76"/>
      <c r="F874" s="45"/>
      <c r="G874" s="77"/>
      <c r="H874" s="4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76"/>
      <c r="F875" s="45"/>
      <c r="G875" s="77"/>
      <c r="H875" s="4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76"/>
      <c r="F876" s="45"/>
      <c r="G876" s="77"/>
      <c r="H876" s="4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76"/>
      <c r="F877" s="45"/>
      <c r="G877" s="77"/>
      <c r="H877" s="4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76"/>
      <c r="F878" s="45"/>
      <c r="G878" s="77"/>
      <c r="H878" s="4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76"/>
      <c r="F879" s="45"/>
      <c r="G879" s="77"/>
      <c r="H879" s="4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76"/>
      <c r="F880" s="45"/>
      <c r="G880" s="77"/>
      <c r="H880" s="4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76"/>
      <c r="F881" s="45"/>
      <c r="G881" s="77"/>
      <c r="H881" s="4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76"/>
      <c r="F882" s="45"/>
      <c r="G882" s="77"/>
      <c r="H882" s="4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76"/>
      <c r="F883" s="45"/>
      <c r="G883" s="77"/>
      <c r="H883" s="4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76"/>
      <c r="F884" s="45"/>
      <c r="G884" s="77"/>
      <c r="H884" s="4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76"/>
      <c r="F885" s="45"/>
      <c r="G885" s="77"/>
      <c r="H885" s="4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76"/>
      <c r="F886" s="45"/>
      <c r="G886" s="77"/>
      <c r="H886" s="4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76"/>
      <c r="F887" s="45"/>
      <c r="G887" s="77"/>
      <c r="H887" s="4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76"/>
      <c r="F888" s="45"/>
      <c r="G888" s="77"/>
      <c r="H888" s="4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76"/>
      <c r="F889" s="45"/>
      <c r="G889" s="77"/>
      <c r="H889" s="4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76"/>
      <c r="F890" s="45"/>
      <c r="G890" s="77"/>
      <c r="H890" s="4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76"/>
      <c r="F891" s="45"/>
      <c r="G891" s="77"/>
      <c r="H891" s="4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76"/>
      <c r="F892" s="45"/>
      <c r="G892" s="77"/>
      <c r="H892" s="4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76"/>
      <c r="F893" s="45"/>
      <c r="G893" s="77"/>
      <c r="H893" s="4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76"/>
      <c r="F894" s="45"/>
      <c r="G894" s="77"/>
      <c r="H894" s="4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76"/>
      <c r="F895" s="45"/>
      <c r="G895" s="77"/>
      <c r="H895" s="4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76"/>
      <c r="F896" s="45"/>
      <c r="G896" s="77"/>
      <c r="H896" s="4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76"/>
      <c r="F897" s="45"/>
      <c r="G897" s="77"/>
      <c r="H897" s="4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76"/>
      <c r="F898" s="45"/>
      <c r="G898" s="77"/>
      <c r="H898" s="4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76"/>
      <c r="F899" s="45"/>
      <c r="G899" s="77"/>
      <c r="H899" s="4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76"/>
      <c r="F900" s="45"/>
      <c r="G900" s="77"/>
      <c r="H900" s="4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76"/>
      <c r="F901" s="45"/>
      <c r="G901" s="77"/>
      <c r="H901" s="4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76"/>
      <c r="F902" s="45"/>
      <c r="G902" s="77"/>
      <c r="H902" s="4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76"/>
      <c r="F903" s="45"/>
      <c r="G903" s="77"/>
      <c r="H903" s="4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76"/>
      <c r="F904" s="45"/>
      <c r="G904" s="77"/>
      <c r="H904" s="4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76"/>
      <c r="F905" s="45"/>
      <c r="G905" s="77"/>
      <c r="H905" s="4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76"/>
      <c r="F906" s="45"/>
      <c r="G906" s="77"/>
      <c r="H906" s="4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76"/>
      <c r="F907" s="45"/>
      <c r="G907" s="77"/>
      <c r="H907" s="4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76"/>
      <c r="F908" s="45"/>
      <c r="G908" s="77"/>
      <c r="H908" s="4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76"/>
      <c r="F909" s="45"/>
      <c r="G909" s="77"/>
      <c r="H909" s="4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76"/>
      <c r="F910" s="45"/>
      <c r="G910" s="77"/>
      <c r="H910" s="4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76"/>
      <c r="F911" s="45"/>
      <c r="G911" s="77"/>
      <c r="H911" s="4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76"/>
      <c r="F912" s="45"/>
      <c r="G912" s="77"/>
      <c r="H912" s="4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76"/>
      <c r="F913" s="45"/>
      <c r="G913" s="77"/>
      <c r="H913" s="4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76"/>
      <c r="F914" s="45"/>
      <c r="G914" s="77"/>
      <c r="H914" s="4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76"/>
      <c r="F915" s="45"/>
      <c r="G915" s="77"/>
      <c r="H915" s="4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76"/>
      <c r="F916" s="45"/>
      <c r="G916" s="77"/>
      <c r="H916" s="4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76"/>
      <c r="F917" s="45"/>
      <c r="G917" s="77"/>
      <c r="H917" s="4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76"/>
      <c r="F918" s="45"/>
      <c r="G918" s="77"/>
      <c r="H918" s="4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76"/>
      <c r="F919" s="45"/>
      <c r="G919" s="77"/>
      <c r="H919" s="4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76"/>
      <c r="F920" s="45"/>
      <c r="G920" s="77"/>
      <c r="H920" s="4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76"/>
      <c r="F921" s="45"/>
      <c r="G921" s="77"/>
      <c r="H921" s="4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76"/>
      <c r="F922" s="45"/>
      <c r="G922" s="77"/>
      <c r="H922" s="4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76"/>
      <c r="F923" s="45"/>
      <c r="G923" s="77"/>
      <c r="H923" s="4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76"/>
      <c r="F924" s="45"/>
      <c r="G924" s="77"/>
      <c r="H924" s="4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76"/>
      <c r="F925" s="45"/>
      <c r="G925" s="77"/>
      <c r="H925" s="4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76"/>
      <c r="F926" s="45"/>
      <c r="G926" s="77"/>
      <c r="H926" s="4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76"/>
      <c r="F927" s="45"/>
      <c r="G927" s="77"/>
      <c r="H927" s="4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76"/>
      <c r="F928" s="45"/>
      <c r="G928" s="77"/>
      <c r="H928" s="4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76"/>
      <c r="F929" s="45"/>
      <c r="G929" s="77"/>
      <c r="H929" s="4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76"/>
      <c r="F930" s="45"/>
      <c r="G930" s="77"/>
      <c r="H930" s="4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76"/>
      <c r="F931" s="45"/>
      <c r="G931" s="77"/>
      <c r="H931" s="4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76"/>
      <c r="F932" s="45"/>
      <c r="G932" s="77"/>
      <c r="H932" s="4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76"/>
      <c r="F933" s="45"/>
      <c r="G933" s="77"/>
      <c r="H933" s="4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76"/>
      <c r="F934" s="45"/>
      <c r="G934" s="77"/>
      <c r="H934" s="4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76"/>
      <c r="F935" s="45"/>
      <c r="G935" s="77"/>
      <c r="H935" s="4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76"/>
      <c r="F936" s="45"/>
      <c r="G936" s="77"/>
      <c r="H936" s="4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76"/>
      <c r="F937" s="45"/>
      <c r="G937" s="77"/>
      <c r="H937" s="4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76"/>
      <c r="F938" s="45"/>
      <c r="G938" s="77"/>
      <c r="H938" s="4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76"/>
      <c r="F939" s="45"/>
      <c r="G939" s="77"/>
      <c r="H939" s="4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76"/>
      <c r="F940" s="45"/>
      <c r="G940" s="77"/>
      <c r="H940" s="4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76"/>
      <c r="F941" s="45"/>
      <c r="G941" s="77"/>
      <c r="H941" s="4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76"/>
      <c r="F942" s="45"/>
      <c r="G942" s="77"/>
      <c r="H942" s="4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76"/>
      <c r="F943" s="45"/>
      <c r="G943" s="77"/>
      <c r="H943" s="4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76"/>
      <c r="F944" s="45"/>
      <c r="G944" s="77"/>
      <c r="H944" s="4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76"/>
      <c r="F945" s="45"/>
      <c r="G945" s="77"/>
      <c r="H945" s="4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76"/>
      <c r="F946" s="45"/>
      <c r="G946" s="77"/>
      <c r="H946" s="4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76"/>
      <c r="F947" s="45"/>
      <c r="G947" s="77"/>
      <c r="H947" s="4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76"/>
      <c r="F948" s="45"/>
      <c r="G948" s="77"/>
      <c r="H948" s="4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76"/>
      <c r="F949" s="45"/>
      <c r="G949" s="77"/>
      <c r="H949" s="4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76"/>
      <c r="F950" s="45"/>
      <c r="G950" s="77"/>
      <c r="H950" s="4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76"/>
      <c r="F951" s="45"/>
      <c r="G951" s="77"/>
      <c r="H951" s="4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76"/>
      <c r="F952" s="45"/>
      <c r="G952" s="77"/>
      <c r="H952" s="4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76"/>
      <c r="F953" s="45"/>
      <c r="G953" s="77"/>
      <c r="H953" s="4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76"/>
      <c r="F954" s="45"/>
      <c r="G954" s="77"/>
      <c r="H954" s="4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76"/>
      <c r="F955" s="45"/>
      <c r="G955" s="77"/>
      <c r="H955" s="4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76"/>
      <c r="F956" s="45"/>
      <c r="G956" s="77"/>
      <c r="H956" s="4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76"/>
      <c r="F957" s="45"/>
      <c r="G957" s="77"/>
      <c r="H957" s="4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76"/>
      <c r="F958" s="45"/>
      <c r="G958" s="77"/>
      <c r="H958" s="4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76"/>
      <c r="F959" s="45"/>
      <c r="G959" s="77"/>
      <c r="H959" s="4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76"/>
      <c r="F960" s="45"/>
      <c r="G960" s="77"/>
      <c r="H960" s="4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76"/>
      <c r="F961" s="45"/>
      <c r="G961" s="77"/>
      <c r="H961" s="4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76"/>
      <c r="F962" s="45"/>
      <c r="G962" s="77"/>
      <c r="H962" s="4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76"/>
      <c r="F963" s="45"/>
      <c r="G963" s="77"/>
      <c r="H963" s="4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76"/>
      <c r="F964" s="45"/>
      <c r="G964" s="77"/>
      <c r="H964" s="4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76"/>
      <c r="F965" s="45"/>
      <c r="G965" s="77"/>
      <c r="H965" s="4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76"/>
      <c r="F966" s="45"/>
      <c r="G966" s="77"/>
      <c r="H966" s="4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76"/>
      <c r="F967" s="45"/>
      <c r="G967" s="77"/>
      <c r="H967" s="4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76"/>
      <c r="F968" s="45"/>
      <c r="G968" s="77"/>
      <c r="H968" s="4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76"/>
      <c r="F969" s="45"/>
      <c r="G969" s="77"/>
      <c r="H969" s="4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76"/>
      <c r="F970" s="45"/>
      <c r="G970" s="77"/>
      <c r="H970" s="4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76"/>
      <c r="F971" s="45"/>
      <c r="G971" s="77"/>
      <c r="H971" s="4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76"/>
      <c r="F972" s="45"/>
      <c r="G972" s="77"/>
      <c r="H972" s="4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76"/>
      <c r="F973" s="45"/>
      <c r="G973" s="77"/>
      <c r="H973" s="4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76"/>
      <c r="F974" s="45"/>
      <c r="G974" s="77"/>
      <c r="H974" s="4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76"/>
      <c r="F975" s="45"/>
      <c r="G975" s="77"/>
      <c r="H975" s="4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76"/>
      <c r="F976" s="45"/>
      <c r="G976" s="77"/>
      <c r="H976" s="4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76"/>
      <c r="F977" s="45"/>
      <c r="G977" s="77"/>
      <c r="H977" s="4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76"/>
      <c r="F978" s="45"/>
      <c r="G978" s="77"/>
      <c r="H978" s="4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76"/>
      <c r="F979" s="45"/>
      <c r="G979" s="77"/>
      <c r="H979" s="4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76"/>
      <c r="F980" s="45"/>
      <c r="G980" s="77"/>
      <c r="H980" s="4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76"/>
      <c r="F981" s="45"/>
      <c r="G981" s="77"/>
      <c r="H981" s="4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76"/>
      <c r="F982" s="45"/>
      <c r="G982" s="77"/>
      <c r="H982" s="4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76"/>
      <c r="F983" s="45"/>
      <c r="G983" s="77"/>
      <c r="H983" s="4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76"/>
      <c r="F984" s="45"/>
      <c r="G984" s="77"/>
      <c r="H984" s="4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76"/>
      <c r="F985" s="45"/>
      <c r="G985" s="77"/>
      <c r="H985" s="4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76"/>
      <c r="F986" s="45"/>
      <c r="G986" s="77"/>
      <c r="H986" s="4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76"/>
      <c r="F987" s="45"/>
      <c r="G987" s="77"/>
      <c r="H987" s="4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76"/>
      <c r="F988" s="45"/>
      <c r="G988" s="77"/>
      <c r="H988" s="4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76"/>
      <c r="F989" s="45"/>
      <c r="G989" s="77"/>
      <c r="H989" s="4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76"/>
      <c r="F990" s="45"/>
      <c r="G990" s="77"/>
      <c r="H990" s="4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76"/>
      <c r="F991" s="45"/>
      <c r="G991" s="77"/>
      <c r="H991" s="4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76"/>
      <c r="F992" s="45"/>
      <c r="G992" s="77"/>
      <c r="H992" s="4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76"/>
      <c r="F993" s="45"/>
      <c r="G993" s="77"/>
      <c r="H993" s="4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76"/>
      <c r="F994" s="45"/>
      <c r="G994" s="77"/>
      <c r="H994" s="4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76"/>
      <c r="F995" s="45"/>
      <c r="G995" s="77"/>
      <c r="H995" s="4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76"/>
      <c r="F996" s="45"/>
      <c r="G996" s="77"/>
      <c r="H996" s="4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76"/>
      <c r="F997" s="45"/>
      <c r="G997" s="77"/>
      <c r="H997" s="4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76"/>
      <c r="F998" s="45"/>
      <c r="G998" s="77"/>
      <c r="H998" s="4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76"/>
      <c r="F999" s="45"/>
      <c r="G999" s="77"/>
      <c r="H999" s="4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76"/>
      <c r="F1000" s="45"/>
      <c r="G1000" s="77"/>
      <c r="H1000" s="4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H11:I11"/>
  </mergeCell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