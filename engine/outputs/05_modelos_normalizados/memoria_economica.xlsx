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0" autoFilterDateGrouping="1"/>
  </bookViews>
  <sheets>
    <sheet xmlns:r="http://schemas.openxmlformats.org/officeDocument/2006/relationships" name="Hoja1" sheetId="1" state="visible" r:id="rId1"/>
    <sheet xmlns:r="http://schemas.openxmlformats.org/officeDocument/2006/relationships" name="TRAZABILIDAD_PIPELINE" sheetId="2" state="visible" r:id="rId2"/>
    <sheet xmlns:r="http://schemas.openxmlformats.org/officeDocument/2006/relationships" name="EDA_RELACION_GASTOS" sheetId="3" state="visible" r:id="rId3"/>
  </sheets>
  <definedNames/>
  <calcPr calcId="191029" fullCalcOnLoad="1"/>
</workbook>
</file>

<file path=xl/styles.xml><?xml version="1.0" encoding="utf-8"?>
<styleSheet xmlns="http://schemas.openxmlformats.org/spreadsheetml/2006/main">
  <numFmts count="0"/>
  <fonts count="18">
    <font>
      <name val="Aptos Narrow"/>
      <family val="2"/>
      <color theme="1"/>
      <sz val="11"/>
      <scheme val="minor"/>
    </font>
    <font>
      <name val="Arial"/>
      <family val="2"/>
      <b val="1"/>
      <color rgb="FF000000"/>
      <sz val="10"/>
    </font>
    <font>
      <name val="Arial"/>
      <family val="2"/>
      <b val="1"/>
      <color theme="1"/>
      <sz val="10"/>
    </font>
    <font>
      <name val="Arial"/>
      <family val="2"/>
      <color rgb="FF000000"/>
      <sz val="10"/>
    </font>
    <font>
      <name val="Arial"/>
      <family val="2"/>
      <color theme="1"/>
      <sz val="10"/>
    </font>
    <font>
      <name val="Arial"/>
      <family val="2"/>
      <b val="1"/>
      <sz val="7"/>
    </font>
    <font>
      <name val="Arial"/>
      <family val="2"/>
      <b val="1"/>
      <sz val="10"/>
    </font>
    <font>
      <name val="Arial"/>
      <family val="2"/>
      <sz val="10"/>
    </font>
    <font>
      <name val="Arial Narrow"/>
      <family val="2"/>
      <sz val="10"/>
    </font>
    <font>
      <name val="Aptos Narrow"/>
      <family val="2"/>
      <color theme="1"/>
      <sz val="10"/>
      <scheme val="minor"/>
    </font>
    <font>
      <name val="Arial"/>
      <family val="2"/>
      <b val="1"/>
      <sz val="10"/>
      <u val="single"/>
    </font>
    <font>
      <name val="Arial Narrow"/>
      <family val="2"/>
      <b val="1"/>
      <sz val="10"/>
    </font>
    <font>
      <name val="Cambria"/>
      <family val="1"/>
      <sz val="10"/>
    </font>
    <font>
      <name val="Arial"/>
      <family val="2"/>
      <b val="1"/>
      <sz val="11"/>
    </font>
    <font>
      <name val="Arial"/>
      <family val="2"/>
      <color indexed="12"/>
      <sz val="10"/>
      <u val="single"/>
    </font>
    <font>
      <name val="Arial"/>
      <family val="2"/>
      <i val="1"/>
      <sz val="7"/>
    </font>
    <font>
      <name val="Arial"/>
      <family val="2"/>
      <i val="1"/>
      <sz val="8"/>
    </font>
    <font>
      <name val="Arial"/>
      <family val="2"/>
      <i val="1"/>
      <color theme="1"/>
      <sz val="8"/>
    </font>
  </fonts>
  <fills count="8">
    <fill>
      <patternFill/>
    </fill>
    <fill>
      <patternFill patternType="gray125"/>
    </fill>
    <fill>
      <patternFill patternType="solid">
        <fgColor rgb="FFD9D9D9"/>
        <bgColor indexed="64"/>
      </patternFill>
    </fill>
    <fill>
      <patternFill patternType="solid">
        <fgColor theme="0" tint="-0.1499984740745262"/>
        <bgColor indexed="64"/>
      </patternFill>
    </fill>
    <fill>
      <patternFill patternType="solid">
        <fgColor theme="0"/>
        <bgColor indexed="64"/>
      </patternFill>
    </fill>
    <fill>
      <patternFill patternType="solid">
        <fgColor indexed="22"/>
        <bgColor indexed="64"/>
      </patternFill>
    </fill>
    <fill>
      <patternFill patternType="solid">
        <fgColor theme="0" tint="-0.249977111117893"/>
        <bgColor indexed="64"/>
      </patternFill>
    </fill>
    <fill>
      <patternFill patternType="solid">
        <fgColor theme="2" tint="-0.0999786370433668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s>
  <cellStyleXfs count="2">
    <xf numFmtId="0" fontId="0" fillId="0" borderId="0"/>
    <xf numFmtId="0" fontId="14" fillId="0" borderId="0" applyAlignment="1" applyProtection="1">
      <alignment vertical="top"/>
      <protection locked="0" hidden="0"/>
    </xf>
  </cellStyleXfs>
  <cellXfs count="137">
    <xf numFmtId="0" fontId="0" fillId="0" borderId="0" pivotButton="0" quotePrefix="0" xfId="0"/>
    <xf numFmtId="0" fontId="9" fillId="0" borderId="0" pivotButton="0" quotePrefix="0" xfId="0"/>
    <xf numFmtId="0" fontId="11" fillId="6" borderId="1" applyAlignment="1" pivotButton="0" quotePrefix="0" xfId="0">
      <alignment horizontal="center"/>
    </xf>
    <xf numFmtId="4" fontId="11" fillId="0" borderId="1" applyAlignment="1" applyProtection="1" pivotButton="0" quotePrefix="0" xfId="0">
      <alignment horizontal="right" vertical="center"/>
      <protection locked="0" hidden="0"/>
    </xf>
    <xf numFmtId="4" fontId="6" fillId="5" borderId="1" applyAlignment="1" applyProtection="1" pivotButton="0" quotePrefix="0" xfId="0">
      <alignment horizontal="right" vertical="center"/>
      <protection locked="0" hidden="0"/>
    </xf>
    <xf numFmtId="0" fontId="13" fillId="0" borderId="0" applyAlignment="1" pivotButton="0" quotePrefix="0" xfId="0">
      <alignment horizontal="center" vertical="center" wrapText="1"/>
    </xf>
    <xf numFmtId="0" fontId="0" fillId="0" borderId="0" applyProtection="1" pivotButton="0" quotePrefix="0" xfId="0">
      <protection locked="0" hidden="0"/>
    </xf>
    <xf numFmtId="0" fontId="15" fillId="0" borderId="0" applyAlignment="1" applyProtection="1" pivotButton="0" quotePrefix="0" xfId="1">
      <alignment horizontal="left" vertical="center" wrapText="1" indent="1"/>
      <protection locked="0" hidden="0"/>
    </xf>
    <xf numFmtId="0" fontId="0" fillId="0" borderId="0" applyAlignment="1" applyProtection="1" pivotButton="0" quotePrefix="0" xfId="0">
      <alignment horizontal="left" vertical="center" wrapText="1" indent="1"/>
      <protection locked="0" hidden="0"/>
    </xf>
    <xf numFmtId="0" fontId="1" fillId="2" borderId="1" applyAlignment="1" pivotButton="0" quotePrefix="0" xfId="0">
      <alignment horizontal="center" vertical="center" wrapText="1"/>
    </xf>
    <xf numFmtId="0" fontId="4" fillId="0" borderId="1" applyAlignment="1" pivotButton="0" quotePrefix="0" xfId="0">
      <alignment vertical="center" wrapText="1"/>
    </xf>
    <xf numFmtId="0" fontId="0" fillId="0" borderId="1" pivotButton="0" quotePrefix="0" xfId="0"/>
    <xf numFmtId="2" fontId="4"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1"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2" fillId="0" borderId="1" applyAlignment="1" pivotButton="0" quotePrefix="0" xfId="0">
      <alignment horizontal="center" vertical="center" wrapText="1"/>
    </xf>
    <xf numFmtId="0" fontId="1" fillId="4" borderId="1" applyAlignment="1" pivotButton="0" quotePrefix="0" xfId="0">
      <alignment horizontal="center" vertical="center" wrapText="1"/>
    </xf>
    <xf numFmtId="0" fontId="2" fillId="0" borderId="1" applyAlignment="1" pivotButton="0" quotePrefix="0" xfId="0">
      <alignment vertical="center" wrapText="1"/>
    </xf>
    <xf numFmtId="2" fontId="4" fillId="0" borderId="12" applyAlignment="1" pivotButton="0" quotePrefix="0" xfId="0">
      <alignment horizontal="center" vertical="center" wrapText="1"/>
    </xf>
    <xf numFmtId="0" fontId="0" fillId="0" borderId="12" applyAlignment="1" pivotButton="0" quotePrefix="0" xfId="0">
      <alignment horizontal="center" vertical="center" wrapText="1"/>
    </xf>
    <xf numFmtId="2" fontId="0" fillId="0" borderId="1" applyAlignment="1" pivotButton="0" quotePrefix="0" xfId="0">
      <alignment horizontal="center"/>
    </xf>
    <xf numFmtId="2" fontId="4" fillId="0" borderId="11" applyAlignment="1" pivotButton="0" quotePrefix="0" xfId="0">
      <alignment horizontal="center" vertical="center" wrapText="1"/>
    </xf>
    <xf numFmtId="0" fontId="0" fillId="0" borderId="11" pivotButton="0" quotePrefix="0" xfId="0"/>
    <xf numFmtId="0" fontId="2" fillId="0" borderId="4" applyAlignment="1" pivotButton="0" quotePrefix="0" xfId="0">
      <alignment horizontal="right" vertical="center" wrapText="1"/>
    </xf>
    <xf numFmtId="2" fontId="4" fillId="0" borderId="4" applyAlignment="1" pivotButton="0" quotePrefix="0" xfId="0">
      <alignment horizontal="center" vertical="center" wrapText="1"/>
    </xf>
    <xf numFmtId="0" fontId="0" fillId="0" borderId="4" pivotButton="0" quotePrefix="0" xfId="0"/>
    <xf numFmtId="0" fontId="1" fillId="0" borderId="0" applyAlignment="1" pivotButton="0" quotePrefix="0" xfId="0">
      <alignment horizontal="center" vertical="center" wrapText="1"/>
    </xf>
    <xf numFmtId="2" fontId="4" fillId="3" borderId="1" applyAlignment="1" pivotButton="0" quotePrefix="0" xfId="0">
      <alignment horizontal="center" vertical="center" wrapText="1"/>
    </xf>
    <xf numFmtId="2" fontId="4" fillId="0" borderId="0" applyAlignment="1" pivotButton="0" quotePrefix="0" xfId="0">
      <alignment horizontal="center" vertical="center" wrapText="1"/>
    </xf>
    <xf numFmtId="0" fontId="1" fillId="0" borderId="0" applyAlignment="1" pivotButton="0" quotePrefix="0" xfId="0">
      <alignment horizontal="right" vertical="center" wrapText="1"/>
    </xf>
    <xf numFmtId="0" fontId="1" fillId="0" borderId="11" applyAlignment="1" pivotButton="0" quotePrefix="0" xfId="0">
      <alignment horizontal="right" vertical="center" wrapText="1"/>
    </xf>
    <xf numFmtId="0" fontId="11" fillId="3" borderId="1" applyAlignment="1" applyProtection="1" pivotButton="0" quotePrefix="0" xfId="0">
      <alignment horizontal="center"/>
      <protection locked="0" hidden="0"/>
    </xf>
    <xf numFmtId="4" fontId="6" fillId="3" borderId="1" applyAlignment="1" applyProtection="1" pivotButton="0" quotePrefix="0" xfId="0">
      <alignment horizontal="right" vertical="center"/>
      <protection locked="0" hidden="0"/>
    </xf>
    <xf numFmtId="0" fontId="17" fillId="0" borderId="0" pivotButton="0" quotePrefix="0" xfId="0"/>
    <xf numFmtId="0" fontId="0" fillId="0" borderId="10" applyAlignment="1" pivotButton="0" quotePrefix="0" xfId="0">
      <alignment horizontal="center"/>
    </xf>
    <xf numFmtId="0" fontId="0" fillId="0" borderId="3" applyAlignment="1" pivotButton="0" quotePrefix="0" xfId="0">
      <alignment horizontal="center"/>
    </xf>
    <xf numFmtId="0" fontId="4" fillId="0" borderId="13"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8" applyAlignment="1" pivotButton="0" quotePrefix="0" xfId="0">
      <alignment horizontal="center" vertical="center" wrapText="1"/>
    </xf>
    <xf numFmtId="0" fontId="4" fillId="0" borderId="9" applyAlignment="1" pivotButton="0" quotePrefix="0" xfId="0">
      <alignment horizontal="center" vertical="center" wrapText="1"/>
    </xf>
    <xf numFmtId="2" fontId="4" fillId="0" borderId="10" applyAlignment="1" pivotButton="0" quotePrefix="0" xfId="0">
      <alignment horizontal="center" vertical="center" wrapText="1"/>
    </xf>
    <xf numFmtId="2" fontId="4" fillId="0" borderId="3" applyAlignment="1" pivotButton="0" quotePrefix="0" xfId="0">
      <alignment horizontal="center" vertical="center" wrapText="1"/>
    </xf>
    <xf numFmtId="0" fontId="16" fillId="0" borderId="0" applyAlignment="1" applyProtection="1" pivotButton="0" quotePrefix="0" xfId="1">
      <alignment horizontal="left" vertical="center" wrapText="1" indent="1"/>
      <protection locked="0" hidden="0"/>
    </xf>
    <xf numFmtId="0" fontId="16" fillId="0" borderId="0" applyAlignment="1" pivotButton="0" quotePrefix="0" xfId="0">
      <alignment horizontal="left" vertical="center" wrapText="1" indent="1"/>
    </xf>
    <xf numFmtId="0" fontId="17" fillId="0" borderId="0" applyAlignment="1" pivotButton="0" quotePrefix="0" xfId="0">
      <alignment horizontal="left" vertical="center" wrapText="1" indent="1"/>
    </xf>
    <xf numFmtId="0" fontId="1" fillId="2" borderId="1" applyAlignment="1" pivotButton="0" quotePrefix="0" xfId="0">
      <alignment horizontal="center" vertical="center" wrapText="1"/>
    </xf>
    <xf numFmtId="0" fontId="4" fillId="0" borderId="1" applyAlignment="1" pivotButton="0" quotePrefix="0" xfId="0">
      <alignment vertical="center" wrapText="1"/>
    </xf>
    <xf numFmtId="2" fontId="4" fillId="0" borderId="1" applyAlignment="1" pivotButton="0" quotePrefix="0" xfId="0">
      <alignment horizontal="center" vertical="center" wrapText="1"/>
    </xf>
    <xf numFmtId="0" fontId="0" fillId="0" borderId="1" applyAlignment="1" pivotButton="0" quotePrefix="0" xfId="0">
      <alignment horizontal="center"/>
    </xf>
    <xf numFmtId="0" fontId="1" fillId="2" borderId="10"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13" applyAlignment="1" pivotButton="0" quotePrefix="0" xfId="0">
      <alignment horizontal="center" vertical="center" wrapText="1"/>
    </xf>
    <xf numFmtId="0" fontId="1" fillId="2" borderId="14" applyAlignment="1" pivotButton="0" quotePrefix="0" xfId="0">
      <alignment horizontal="center" vertical="center" wrapText="1"/>
    </xf>
    <xf numFmtId="0" fontId="1" fillId="2" borderId="8" applyAlignment="1" pivotButton="0" quotePrefix="0" xfId="0">
      <alignment horizontal="center" vertical="center" wrapText="1"/>
    </xf>
    <xf numFmtId="0" fontId="1" fillId="2" borderId="9" applyAlignment="1" pivotButton="0" quotePrefix="0" xfId="0">
      <alignment horizontal="center" vertical="center" wrapText="1"/>
    </xf>
    <xf numFmtId="0" fontId="1" fillId="2" borderId="7" applyAlignment="1" pivotButton="0" quotePrefix="0" xfId="0">
      <alignment horizontal="center" vertical="center" wrapText="1"/>
    </xf>
    <xf numFmtId="0" fontId="2" fillId="0" borderId="1" applyAlignment="1" pivotButton="0" quotePrefix="0" xfId="0">
      <alignment horizontal="center" vertical="center" wrapText="1"/>
    </xf>
    <xf numFmtId="0" fontId="2" fillId="3" borderId="1" applyAlignment="1" pivotButton="0" quotePrefix="0" xfId="0">
      <alignment horizontal="center" vertical="center" wrapText="1"/>
    </xf>
    <xf numFmtId="0" fontId="4" fillId="3" borderId="1" applyAlignment="1" pivotButton="0" quotePrefix="0" xfId="0">
      <alignment horizontal="center" vertical="center" wrapText="1"/>
    </xf>
    <xf numFmtId="0" fontId="1" fillId="7" borderId="1" applyAlignment="1" pivotButton="0" quotePrefix="0" xfId="0">
      <alignment horizontal="center" vertical="center" wrapText="1"/>
    </xf>
    <xf numFmtId="0" fontId="2" fillId="0" borderId="1" applyAlignment="1" pivotButton="0" quotePrefix="0" xfId="0">
      <alignment horizontal="right" vertical="center" wrapText="1"/>
    </xf>
    <xf numFmtId="0" fontId="1" fillId="3" borderId="5" applyAlignment="1" pivotButton="0" quotePrefix="0" xfId="0">
      <alignment horizontal="right" vertical="center" wrapText="1"/>
    </xf>
    <xf numFmtId="0" fontId="1" fillId="3" borderId="6" applyAlignment="1" pivotButton="0" quotePrefix="0" xfId="0">
      <alignment horizontal="right" vertical="center" wrapText="1"/>
    </xf>
    <xf numFmtId="0" fontId="1" fillId="3" borderId="2" applyAlignment="1" pivotButton="0" quotePrefix="0" xfId="0">
      <alignment horizontal="right" vertical="center" wrapText="1"/>
    </xf>
    <xf numFmtId="0" fontId="10" fillId="0" borderId="0" applyAlignment="1" applyProtection="1" pivotButton="0" quotePrefix="0" xfId="0">
      <alignment horizontal="left" vertical="center" wrapText="1" indent="1"/>
      <protection locked="0" hidden="0"/>
    </xf>
    <xf numFmtId="0" fontId="4"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6" fillId="0" borderId="4" applyAlignment="1" pivotButton="0" quotePrefix="0" xfId="0">
      <alignment horizontal="center" vertical="center" wrapText="1"/>
    </xf>
    <xf numFmtId="0" fontId="11" fillId="6" borderId="5" applyAlignment="1" pivotButton="0" quotePrefix="0" xfId="0">
      <alignment horizontal="center" vertical="center" wrapText="1"/>
    </xf>
    <xf numFmtId="0" fontId="11" fillId="6" borderId="6" applyAlignment="1" pivotButton="0" quotePrefix="0" xfId="0">
      <alignment horizontal="center" vertical="center" wrapText="1"/>
    </xf>
    <xf numFmtId="0" fontId="11" fillId="6" borderId="2" applyAlignment="1" pivotButton="0" quotePrefix="0" xfId="0">
      <alignment horizontal="center" vertical="center" wrapText="1"/>
    </xf>
    <xf numFmtId="0" fontId="8" fillId="0" borderId="8" applyAlignment="1" applyProtection="1" pivotButton="0" quotePrefix="0" xfId="0">
      <alignment horizontal="left"/>
      <protection locked="0" hidden="0"/>
    </xf>
    <xf numFmtId="0" fontId="8" fillId="0" borderId="4" applyAlignment="1" applyProtection="1" pivotButton="0" quotePrefix="0" xfId="0">
      <alignment horizontal="left"/>
      <protection locked="0" hidden="0"/>
    </xf>
    <xf numFmtId="0" fontId="8" fillId="0" borderId="9" applyAlignment="1" applyProtection="1" pivotButton="0" quotePrefix="0" xfId="0">
      <alignment horizontal="left"/>
      <protection locked="0" hidden="0"/>
    </xf>
    <xf numFmtId="0" fontId="12" fillId="0" borderId="5" applyAlignment="1" applyProtection="1" pivotButton="0" quotePrefix="0" xfId="0">
      <alignment horizontal="left" vertical="center" wrapText="1"/>
      <protection locked="0" hidden="0"/>
    </xf>
    <xf numFmtId="0" fontId="12" fillId="0" borderId="6" applyAlignment="1" applyProtection="1" pivotButton="0" quotePrefix="0" xfId="0">
      <alignment horizontal="left" vertical="center" wrapText="1"/>
      <protection locked="0" hidden="0"/>
    </xf>
    <xf numFmtId="0" fontId="12" fillId="0" borderId="2" applyAlignment="1" applyProtection="1" pivotButton="0" quotePrefix="0" xfId="0">
      <alignment horizontal="left" vertical="center" wrapText="1"/>
      <protection locked="0" hidden="0"/>
    </xf>
    <xf numFmtId="0" fontId="8" fillId="0" borderId="5" applyAlignment="1" applyProtection="1" pivotButton="0" quotePrefix="0" xfId="0">
      <alignment horizontal="center" vertical="center"/>
      <protection locked="0" hidden="0"/>
    </xf>
    <xf numFmtId="0" fontId="8" fillId="0" borderId="2" applyAlignment="1" applyProtection="1" pivotButton="0" quotePrefix="0" xfId="0">
      <alignment horizontal="center" vertical="center"/>
      <protection locked="0" hidden="0"/>
    </xf>
    <xf numFmtId="0" fontId="8" fillId="0" borderId="5" applyAlignment="1" applyProtection="1" pivotButton="0" quotePrefix="0" xfId="0">
      <alignment horizontal="left" vertical="center"/>
      <protection locked="0" hidden="0"/>
    </xf>
    <xf numFmtId="0" fontId="8" fillId="0" borderId="6" applyAlignment="1" applyProtection="1" pivotButton="0" quotePrefix="0" xfId="0">
      <alignment horizontal="left" vertical="center"/>
      <protection locked="0" hidden="0"/>
    </xf>
    <xf numFmtId="0" fontId="8" fillId="0" borderId="2" applyAlignment="1" applyProtection="1" pivotButton="0" quotePrefix="0" xfId="0">
      <alignment horizontal="left" vertical="center"/>
      <protection locked="0" hidden="0"/>
    </xf>
    <xf numFmtId="0" fontId="6" fillId="3" borderId="10" applyAlignment="1" applyProtection="1" pivotButton="0" quotePrefix="0" xfId="0">
      <alignment horizontal="center" vertical="center" wrapText="1"/>
      <protection locked="0" hidden="0"/>
    </xf>
    <xf numFmtId="0" fontId="6" fillId="3" borderId="7" applyAlignment="1" applyProtection="1" pivotButton="0" quotePrefix="0" xfId="0">
      <alignment horizontal="center" vertical="center" wrapText="1"/>
      <protection locked="0" hidden="0"/>
    </xf>
    <xf numFmtId="0" fontId="6" fillId="3" borderId="3" applyAlignment="1" applyProtection="1" pivotButton="0" quotePrefix="0" xfId="0">
      <alignment horizontal="center" vertical="center" wrapText="1"/>
      <protection locked="0" hidden="0"/>
    </xf>
    <xf numFmtId="0" fontId="6" fillId="5" borderId="0" applyAlignment="1" pivotButton="0" quotePrefix="0" xfId="0">
      <alignment horizontal="center" vertical="center" wrapText="1"/>
    </xf>
    <xf numFmtId="0" fontId="5" fillId="0" borderId="0" applyAlignment="1" pivotButton="0" quotePrefix="0" xfId="0">
      <alignment horizontal="left" vertical="center" wrapText="1" indent="4"/>
    </xf>
    <xf numFmtId="0" fontId="5" fillId="0" borderId="0" applyAlignment="1" pivotButton="0" quotePrefix="0" xfId="0">
      <alignment horizontal="left" vertical="center" indent="4"/>
    </xf>
    <xf numFmtId="0" fontId="8" fillId="0" borderId="7" applyAlignment="1" applyProtection="1" pivotButton="0" quotePrefix="0" xfId="0">
      <alignment horizontal="center" vertical="center" wrapText="1"/>
      <protection locked="0" hidden="0"/>
    </xf>
    <xf numFmtId="0" fontId="8" fillId="0" borderId="3" applyAlignment="1" applyProtection="1" pivotButton="0" quotePrefix="0" xfId="0">
      <alignment horizontal="center" vertical="center" wrapText="1"/>
      <protection locked="0" hidden="0"/>
    </xf>
    <xf numFmtId="0" fontId="10" fillId="0" borderId="0" applyAlignment="1" applyProtection="1" pivotButton="0" quotePrefix="0" xfId="0">
      <alignment horizontal="center" vertical="center" wrapText="1"/>
      <protection locked="0" hidden="0"/>
    </xf>
    <xf numFmtId="0" fontId="7" fillId="6" borderId="5" applyAlignment="1" applyProtection="1" pivotButton="0" quotePrefix="0" xfId="0">
      <alignment horizontal="center" vertical="center" wrapText="1"/>
      <protection locked="0" hidden="0"/>
    </xf>
    <xf numFmtId="0" fontId="7" fillId="6" borderId="2" applyAlignment="1" applyProtection="1" pivotButton="0" quotePrefix="0" xfId="0">
      <alignment horizontal="center" vertical="center" wrapText="1"/>
      <protection locked="0" hidden="0"/>
    </xf>
    <xf numFmtId="0" fontId="6" fillId="5" borderId="5" applyAlignment="1" applyProtection="1" pivotButton="0" quotePrefix="0" xfId="0">
      <alignment horizontal="right" vertical="center" wrapText="1" indent="1"/>
      <protection locked="0" hidden="0"/>
    </xf>
    <xf numFmtId="0" fontId="6" fillId="5" borderId="6" applyAlignment="1" applyProtection="1" pivotButton="0" quotePrefix="0" xfId="0">
      <alignment horizontal="right" vertical="center" wrapText="1" indent="1"/>
      <protection locked="0" hidden="0"/>
    </xf>
    <xf numFmtId="0" fontId="6" fillId="5" borderId="2" applyAlignment="1" applyProtection="1" pivotButton="0" quotePrefix="0" xfId="0">
      <alignment horizontal="right" vertical="center" wrapText="1" indent="1"/>
      <protection locked="0" hidden="0"/>
    </xf>
    <xf numFmtId="0" fontId="13" fillId="0" borderId="0" applyAlignment="1" pivotButton="0" quotePrefix="0" xfId="0">
      <alignment horizontal="center" vertical="center" wrapText="1"/>
    </xf>
    <xf numFmtId="0" fontId="13" fillId="0" borderId="4" applyAlignment="1" applyProtection="1" pivotButton="0" quotePrefix="0" xfId="0">
      <alignment horizontal="center" vertical="center"/>
      <protection locked="0" hidden="0"/>
    </xf>
    <xf numFmtId="0" fontId="6" fillId="3" borderId="5" applyAlignment="1" applyProtection="1" pivotButton="0" quotePrefix="0" xfId="0">
      <alignment horizontal="right" vertical="center" wrapText="1"/>
      <protection locked="0" hidden="0"/>
    </xf>
    <xf numFmtId="0" fontId="6" fillId="3" borderId="6" applyAlignment="1" applyProtection="1" pivotButton="0" quotePrefix="0" xfId="0">
      <alignment horizontal="right" vertical="center" wrapText="1"/>
      <protection locked="0" hidden="0"/>
    </xf>
    <xf numFmtId="0" fontId="6" fillId="3" borderId="2" applyAlignment="1" applyProtection="1" pivotButton="0" quotePrefix="0" xfId="0">
      <alignment horizontal="right" vertical="center" wrapText="1"/>
      <protection locked="0" hidden="0"/>
    </xf>
    <xf numFmtId="0" fontId="11" fillId="3" borderId="1" applyAlignment="1" applyProtection="1" pivotButton="0" quotePrefix="0" xfId="0">
      <alignment horizontal="center" vertical="center" wrapText="1"/>
      <protection locked="0" hidden="0"/>
    </xf>
    <xf numFmtId="0" fontId="6" fillId="0" borderId="1" applyAlignment="1" applyProtection="1" pivotButton="0" quotePrefix="0" xfId="0">
      <alignment horizontal="left"/>
      <protection locked="0" hidden="0"/>
    </xf>
    <xf numFmtId="0" fontId="6" fillId="0" borderId="5" applyAlignment="1" applyProtection="1" pivotButton="0" quotePrefix="0" xfId="0">
      <alignment horizontal="left"/>
      <protection locked="0" hidden="0"/>
    </xf>
    <xf numFmtId="0" fontId="6" fillId="0" borderId="6" applyAlignment="1" applyProtection="1" pivotButton="0" quotePrefix="0" xfId="0">
      <alignment horizontal="left"/>
      <protection locked="0" hidden="0"/>
    </xf>
    <xf numFmtId="0" fontId="6" fillId="0" borderId="2" applyAlignment="1" applyProtection="1" pivotButton="0" quotePrefix="0" xfId="0">
      <alignment horizontal="left"/>
      <protection locked="0" hidden="0"/>
    </xf>
    <xf numFmtId="0" fontId="6" fillId="3" borderId="1" applyAlignment="1" applyProtection="1" pivotButton="0" quotePrefix="0" xfId="0">
      <alignment horizontal="right" vertical="center" wrapText="1" indent="1"/>
      <protection locked="0" hidden="0"/>
    </xf>
    <xf numFmtId="0" fontId="1" fillId="2" borderId="15" applyAlignment="1" pivotButton="0" quotePrefix="0" xfId="0">
      <alignment horizontal="center" vertical="center" wrapText="1"/>
    </xf>
    <xf numFmtId="0" fontId="10" fillId="3" borderId="7" applyAlignment="1" applyProtection="1" pivotButton="0" quotePrefix="0" xfId="0">
      <alignment horizontal="center" vertical="center" wrapText="1"/>
      <protection locked="0" hidden="0"/>
    </xf>
    <xf numFmtId="0" fontId="10" fillId="3" borderId="3" applyAlignment="1" applyProtection="1" pivotButton="0" quotePrefix="0" xfId="0">
      <alignment horizontal="center" vertical="center" wrapText="1"/>
      <protection locked="0" hidden="0"/>
    </xf>
    <xf numFmtId="0" fontId="0" fillId="0" borderId="4" applyProtection="1" pivotButton="0" quotePrefix="0" xfId="0">
      <protection locked="0" hidden="0"/>
    </xf>
    <xf numFmtId="0" fontId="0" fillId="0" borderId="6" applyProtection="1" pivotButton="0" quotePrefix="0" xfId="0">
      <protection locked="0" hidden="0"/>
    </xf>
    <xf numFmtId="0" fontId="7" fillId="6" borderId="1" applyAlignment="1" applyProtection="1" pivotButton="0" quotePrefix="0" xfId="0">
      <alignment horizontal="center" vertical="center" wrapText="1"/>
      <protection locked="0" hidden="0"/>
    </xf>
    <xf numFmtId="0" fontId="0" fillId="0" borderId="2" applyProtection="1" pivotButton="0" quotePrefix="0" xfId="0">
      <protection locked="0" hidden="0"/>
    </xf>
    <xf numFmtId="0" fontId="8" fillId="0" borderId="1" applyAlignment="1" applyProtection="1" pivotButton="0" quotePrefix="0" xfId="0">
      <alignment horizontal="left" vertical="center"/>
      <protection locked="0" hidden="0"/>
    </xf>
    <xf numFmtId="0" fontId="8" fillId="0" borderId="1" applyAlignment="1" applyProtection="1" pivotButton="0" quotePrefix="0" xfId="0">
      <alignment horizontal="center" vertical="center"/>
      <protection locked="0" hidden="0"/>
    </xf>
    <xf numFmtId="0" fontId="11" fillId="6" borderId="1" applyAlignment="1" pivotButton="0" quotePrefix="0" xfId="0">
      <alignment horizontal="center" vertical="center" wrapText="1"/>
    </xf>
    <xf numFmtId="0" fontId="0" fillId="0" borderId="6" pivotButton="0" quotePrefix="0" xfId="0"/>
    <xf numFmtId="0" fontId="0" fillId="0" borderId="2" pivotButton="0" quotePrefix="0" xfId="0"/>
    <xf numFmtId="0" fontId="8" fillId="0" borderId="3" applyAlignment="1" applyProtection="1" pivotButton="0" quotePrefix="0" xfId="0">
      <alignment horizontal="left"/>
      <protection locked="0" hidden="0"/>
    </xf>
    <xf numFmtId="0" fontId="0" fillId="0" borderId="9" applyProtection="1" pivotButton="0" quotePrefix="0" xfId="0">
      <protection locked="0" hidden="0"/>
    </xf>
    <xf numFmtId="0" fontId="12" fillId="0" borderId="1" applyAlignment="1" applyProtection="1" pivotButton="0" quotePrefix="0" xfId="0">
      <alignment horizontal="left" vertical="center" wrapText="1"/>
      <protection locked="0" hidden="0"/>
    </xf>
    <xf numFmtId="0" fontId="0" fillId="0" borderId="7" applyProtection="1" pivotButton="0" quotePrefix="0" xfId="0">
      <protection locked="0" hidden="0"/>
    </xf>
    <xf numFmtId="0" fontId="0" fillId="0" borderId="3" applyProtection="1" pivotButton="0" quotePrefix="0" xfId="0">
      <protection locked="0" hidden="0"/>
    </xf>
    <xf numFmtId="0" fontId="6" fillId="5" borderId="1" applyAlignment="1" applyProtection="1" pivotButton="0" quotePrefix="0" xfId="0">
      <alignment horizontal="right" vertical="center" wrapText="1" indent="1"/>
      <protection locked="0" hidden="0"/>
    </xf>
    <xf numFmtId="0" fontId="0" fillId="0" borderId="1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3" pivotButton="0" quotePrefix="0" xfId="0"/>
    <xf numFmtId="0" fontId="0" fillId="0" borderId="12" pivotButton="0" quotePrefix="0" xfId="0"/>
    <xf numFmtId="0" fontId="0" fillId="0" borderId="15" pivotButton="0" quotePrefix="0" xfId="0"/>
    <xf numFmtId="0" fontId="6" fillId="3" borderId="1" applyAlignment="1" applyProtection="1" pivotButton="0" quotePrefix="0" xfId="0">
      <alignment horizontal="center" vertical="center" wrapText="1"/>
      <protection locked="0" hidden="0"/>
    </xf>
    <xf numFmtId="0" fontId="1" fillId="2" borderId="2" applyAlignment="1" pivotButton="0" quotePrefix="0" xfId="0">
      <alignment horizontal="center" vertical="center" wrapText="1"/>
    </xf>
    <xf numFmtId="0" fontId="1" fillId="3" borderId="1" applyAlignment="1" pivotButton="0" quotePrefix="0" xfId="0">
      <alignment horizontal="right" vertical="center" wrapText="1"/>
    </xf>
    <xf numFmtId="0" fontId="6" fillId="3" borderId="1" applyAlignment="1" applyProtection="1" pivotButton="0" quotePrefix="0" xfId="0">
      <alignment horizontal="right" vertical="center" wrapText="1"/>
      <protection locked="0" hidden="0"/>
    </xf>
  </cellXfs>
  <cellStyles count="2">
    <cellStyle name="Normal" xfId="0" builtinId="0"/>
    <cellStyle name="Hipervínculo"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0</col>
      <colOff>0</colOff>
      <row>0</row>
      <rowOff>0</rowOff>
    </from>
    <to>
      <col>0</col>
      <colOff>600075</colOff>
      <row>1</row>
      <rowOff>152004</rowOff>
    </to>
    <pic>
      <nvPicPr>
        <cNvPr id="13" name="Imagen 12" descr="Dibujo en blanco y negro&#10;&#10;Descripción generada automáticamente con confianza media"/>
        <cNvPicPr>
          <a:picLocks xmlns:a="http://schemas.openxmlformats.org/drawingml/2006/main" noChangeAspect="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0" y="0"/>
          <a:ext cx="600075" cy="628254"/>
        </a:xfrm>
        <a:prstGeom xmlns:a="http://schemas.openxmlformats.org/drawingml/2006/main" prst="rect">
          <avLst/>
        </a:prstGeom>
        <a:noFill xmlns:a="http://schemas.openxmlformats.org/drawingml/2006/main"/>
        <a:ln xmlns:a="http://schemas.openxmlformats.org/drawingml/2006/main">
          <a:noFill/>
          <a:prstDash val="solid"/>
        </a:ln>
      </spPr>
    </pic>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N173"/>
  <sheetViews>
    <sheetView tabSelected="1" topLeftCell="A20" workbookViewId="0">
      <selection activeCell="D29" sqref="D29:D30"/>
    </sheetView>
  </sheetViews>
  <sheetFormatPr baseColWidth="10" defaultRowHeight="15"/>
  <cols>
    <col width="19.5703125" customWidth="1" min="1" max="1"/>
    <col width="10.85546875" bestFit="1" customWidth="1" min="2" max="2"/>
    <col width="31.5703125" customWidth="1" min="4" max="4"/>
    <col width="3.140625" customWidth="1" min="5" max="5"/>
    <col width="21.28515625" bestFit="1" customWidth="1" min="6" max="6"/>
    <col width="29.5703125" bestFit="1" customWidth="1" min="7" max="7"/>
    <col width="12.28515625" customWidth="1" min="10" max="10"/>
    <col width="18.42578125" customWidth="1" min="11" max="11"/>
    <col width="17.5703125" customWidth="1" min="12" max="12"/>
  </cols>
  <sheetData>
    <row r="1" ht="37.5" customHeight="1">
      <c r="A1" s="87" t="inlineStr">
        <is>
          <t xml:space="preserve">             MINISTERIO 
             DE CULTURA</t>
        </is>
      </c>
      <c r="K1" s="86" t="inlineStr">
        <is>
          <t>SUBSECRETARÍA DE CULTURA
CENTRO DE COORDINACIÓN DE INDUSTRIAS CULTURALES</t>
        </is>
      </c>
    </row>
    <row r="2"/>
    <row r="5" ht="15" customHeight="1">
      <c r="A5" s="97" t="inlineStr">
        <is>
          <t>AYUDAS A PROYECTOS PROFESIONALES Y EMPRESARIALES PARA LA INNOVACIÓN EN LAS INDUSTRIAS CULTURALES Y CREATIVAS 2025</t>
        </is>
      </c>
    </row>
    <row r="6" ht="15" customHeight="1">
      <c r="A6" s="97" t="n"/>
      <c r="B6" s="97" t="n"/>
      <c r="C6" s="97" t="n"/>
      <c r="D6" s="97" t="n"/>
      <c r="E6" s="97" t="n"/>
      <c r="F6" s="97" t="n"/>
      <c r="G6" s="97" t="n"/>
      <c r="H6" s="97" t="n"/>
      <c r="I6" s="97" t="n"/>
      <c r="J6" s="97" t="n"/>
      <c r="K6" s="97" t="n"/>
      <c r="L6" s="97" t="n"/>
      <c r="M6" s="97" t="n"/>
    </row>
    <row r="7">
      <c r="A7" s="98" t="inlineStr">
        <is>
          <t xml:space="preserve">MEMORIA ECONÓMICA JUSTIFICATIVA (AUTÓNOMOS): DECLARACIÓN DE TODOS LOS GASTOS E INGRESOS DE LA ACTIVIDAD SUBVENCIONADA </t>
        </is>
      </c>
      <c r="B7" s="111" t="n"/>
      <c r="C7" s="111" t="n"/>
      <c r="D7" s="111" t="n"/>
      <c r="E7" s="111" t="n"/>
      <c r="F7" s="111" t="n"/>
      <c r="G7" s="111" t="n"/>
      <c r="H7" s="111" t="n"/>
      <c r="I7" s="111" t="n"/>
      <c r="J7" s="111" t="n"/>
      <c r="K7" s="111" t="n"/>
      <c r="L7" s="111" t="n"/>
      <c r="M7" s="111" t="n"/>
    </row>
    <row r="8" ht="15.6" customHeight="1">
      <c r="A8" s="80" t="inlineStr">
        <is>
          <t>Razón social: María José Moral Morgado</t>
        </is>
      </c>
      <c r="B8" s="112" t="n"/>
      <c r="C8" s="112" t="n"/>
      <c r="D8" s="112" t="n"/>
      <c r="E8" s="112" t="n"/>
      <c r="F8" s="112" t="n"/>
      <c r="G8" s="112" t="n"/>
      <c r="H8" s="112" t="n"/>
      <c r="I8" s="112" t="n"/>
      <c r="J8" s="112" t="n"/>
      <c r="K8" s="112" t="n"/>
      <c r="L8" s="113" t="inlineStr">
        <is>
          <t>Nº de Expediente: 19770-02535886</t>
        </is>
      </c>
      <c r="M8" s="114" t="n"/>
    </row>
    <row r="9" ht="15.95" customHeight="1">
      <c r="A9" s="115" t="inlineStr">
        <is>
          <t>Proyecto: enGira!</t>
        </is>
      </c>
      <c r="B9" s="112" t="n"/>
      <c r="C9" s="112" t="n"/>
      <c r="D9" s="112" t="n"/>
      <c r="E9" s="112" t="n"/>
      <c r="F9" s="112" t="n"/>
      <c r="G9" s="112" t="n"/>
      <c r="H9" s="112" t="n"/>
      <c r="I9" s="112" t="n"/>
      <c r="J9" s="112" t="n"/>
      <c r="K9" s="114" t="n"/>
      <c r="L9" s="116" t="n"/>
      <c r="M9" s="114" t="n"/>
    </row>
    <row r="10" ht="7.5" customHeight="1">
      <c r="A10" s="1" t="n"/>
      <c r="B10" s="1" t="n"/>
      <c r="C10" s="1" t="n"/>
      <c r="D10" s="1" t="n"/>
      <c r="E10" s="1" t="n"/>
      <c r="F10" s="1" t="n"/>
      <c r="G10" s="1" t="n"/>
      <c r="H10" s="1" t="n"/>
    </row>
    <row r="11" ht="48.75" customHeight="1">
      <c r="A11" s="68" t="inlineStr">
        <is>
          <t>INGRESOS
(Se relacionarán todos los ingresos destinados a la actividad subvencionada, incluyendo la presente ayuda, la aportación propia o de otras entidades, y otras ayudas recibidas, según se hiciera constar en el presupuesto aprobado)</t>
        </is>
      </c>
      <c r="B11" s="26" t="n"/>
      <c r="C11" s="26" t="n"/>
      <c r="D11" s="26" t="n"/>
      <c r="E11" s="26" t="n"/>
      <c r="F11" s="26" t="n"/>
      <c r="G11" s="26" t="n"/>
      <c r="H11" s="26" t="n"/>
      <c r="I11" s="26" t="n"/>
      <c r="J11" s="26" t="n"/>
      <c r="K11" s="26" t="n"/>
      <c r="L11" s="26" t="n"/>
      <c r="M11" s="26" t="n"/>
    </row>
    <row r="12" ht="15" customHeight="1">
      <c r="A12" s="117" t="inlineStr">
        <is>
          <t xml:space="preserve"> PROCEDENCIA DE LOS INGRESOS</t>
        </is>
      </c>
      <c r="B12" s="118" t="n"/>
      <c r="C12" s="118" t="n"/>
      <c r="D12" s="118" t="n"/>
      <c r="E12" s="118" t="n"/>
      <c r="F12" s="118" t="n"/>
      <c r="G12" s="118" t="n"/>
      <c r="H12" s="118" t="n"/>
      <c r="I12" s="118" t="n"/>
      <c r="J12" s="118" t="n"/>
      <c r="K12" s="118" t="n"/>
      <c r="L12" s="119" t="n"/>
      <c r="M12" s="2" t="inlineStr">
        <is>
          <t xml:space="preserve">   IMPORTE</t>
        </is>
      </c>
    </row>
    <row r="13">
      <c r="A13" s="120" t="inlineStr">
        <is>
          <t xml:space="preserve"> Ayuda a proyectos profesionaless y empresariales para la innovación en las industrias culturales y creativas</t>
        </is>
      </c>
      <c r="B13" s="111" t="n"/>
      <c r="C13" s="111" t="n"/>
      <c r="D13" s="111" t="n"/>
      <c r="E13" s="111" t="n"/>
      <c r="F13" s="111" t="n"/>
      <c r="G13" s="111" t="n"/>
      <c r="H13" s="111" t="n"/>
      <c r="I13" s="111" t="n"/>
      <c r="J13" s="111" t="n"/>
      <c r="K13" s="111" t="n"/>
      <c r="L13" s="121" t="n"/>
      <c r="M13" s="3" t="n">
        <v>25000</v>
      </c>
    </row>
    <row r="14" ht="15" customHeight="1">
      <c r="A14" s="90" t="inlineStr">
        <is>
          <t xml:space="preserve">  Otros ingresos:
Desglosar procedencia</t>
        </is>
      </c>
      <c r="B14" s="122" t="n"/>
      <c r="C14" s="112" t="n"/>
      <c r="D14" s="112" t="n"/>
      <c r="E14" s="112" t="n"/>
      <c r="F14" s="112" t="n"/>
      <c r="G14" s="112" t="n"/>
      <c r="H14" s="112" t="n"/>
      <c r="I14" s="112" t="n"/>
      <c r="J14" s="112" t="n"/>
      <c r="K14" s="112" t="n"/>
      <c r="L14" s="114" t="n"/>
      <c r="M14" s="3" t="n">
        <v>9453.309999999999</v>
      </c>
    </row>
    <row r="15">
      <c r="A15" s="123" t="n"/>
      <c r="B15" s="122" t="n"/>
      <c r="C15" s="112" t="n"/>
      <c r="D15" s="112" t="n"/>
      <c r="E15" s="112" t="n"/>
      <c r="F15" s="112" t="n"/>
      <c r="G15" s="112" t="n"/>
      <c r="H15" s="112" t="n"/>
      <c r="I15" s="112" t="n"/>
      <c r="J15" s="112" t="n"/>
      <c r="K15" s="112" t="n"/>
      <c r="L15" s="114" t="n"/>
      <c r="M15" s="3" t="n"/>
    </row>
    <row r="16">
      <c r="A16" s="124" t="n"/>
      <c r="B16" s="122" t="n"/>
      <c r="C16" s="112" t="n"/>
      <c r="D16" s="112" t="n"/>
      <c r="E16" s="112" t="n"/>
      <c r="F16" s="112" t="n"/>
      <c r="G16" s="112" t="n"/>
      <c r="H16" s="112" t="n"/>
      <c r="I16" s="112" t="n"/>
      <c r="J16" s="112" t="n"/>
      <c r="K16" s="112" t="n"/>
      <c r="L16" s="114" t="n"/>
      <c r="M16" s="3" t="n"/>
    </row>
    <row r="17">
      <c r="A17" s="125" t="inlineStr">
        <is>
          <t>TOTAL DE INGRESOS</t>
        </is>
      </c>
      <c r="B17" s="112" t="n"/>
      <c r="C17" s="112" t="n"/>
      <c r="D17" s="112" t="n"/>
      <c r="E17" s="112" t="n"/>
      <c r="F17" s="112" t="n"/>
      <c r="G17" s="112" t="n"/>
      <c r="H17" s="112" t="n"/>
      <c r="I17" s="112" t="n"/>
      <c r="J17" s="112" t="n"/>
      <c r="K17" s="112" t="n"/>
      <c r="L17" s="114" t="n"/>
      <c r="M17" s="4">
        <f>SUM(M13:M16)</f>
        <v/>
      </c>
    </row>
    <row r="19">
      <c r="A19" s="91" t="inlineStr">
        <is>
          <t>GASTOS</t>
        </is>
      </c>
      <c r="B19" s="6" t="n"/>
      <c r="C19" s="6" t="n"/>
      <c r="D19" s="6" t="n"/>
      <c r="E19" s="6" t="n"/>
      <c r="F19" s="6" t="n"/>
      <c r="G19" s="6" t="n"/>
      <c r="H19" s="6" t="n"/>
      <c r="I19" s="6" t="n"/>
      <c r="J19" s="6" t="n"/>
      <c r="K19" s="6" t="n"/>
      <c r="L19" s="6" t="n"/>
      <c r="M19" s="6" t="n"/>
    </row>
    <row r="20" ht="29.25" customHeight="1">
      <c r="A20" s="65" t="inlineStr">
        <is>
          <t>1. GASTOS FINANCIADOS CON CARGA A LA AYUDA A PROYECTOS PROFESIONALES Y EMPRESARIALES PARA LA INNOVACIÓN EN LAS INDUSTRIAS CULTURALES Y CREATIVAS (el total de estos gastos debe concidir con el total del importe de la ayuda).</t>
        </is>
      </c>
      <c r="B20" s="6" t="n"/>
      <c r="C20" s="6" t="n"/>
      <c r="D20" s="6" t="n"/>
      <c r="E20" s="6" t="n"/>
      <c r="F20" s="6" t="n"/>
      <c r="G20" s="6" t="n"/>
      <c r="H20" s="6" t="n"/>
      <c r="I20" s="6" t="n"/>
      <c r="J20" s="6" t="n"/>
      <c r="K20" s="6" t="n"/>
      <c r="L20" s="6" t="n"/>
      <c r="M20" s="6" t="n"/>
    </row>
    <row r="22" ht="14.1" customHeight="1">
      <c r="A22" s="46" t="inlineStr">
        <is>
          <t xml:space="preserve">Gastos de personal: nóminas de trabajadores empleados por el beneficiario
</t>
        </is>
      </c>
      <c r="B22" s="46" t="inlineStr">
        <is>
          <t>Denominación de la partida
(coincidente con la del Presupuesto Aprobado)</t>
        </is>
      </c>
      <c r="C22" s="126" t="n"/>
      <c r="D22" s="46" t="inlineStr">
        <is>
          <t>Desglosar conceptos de gasto (corresponderán a actuaciones descritas en la memoria del proyecto)</t>
        </is>
      </c>
      <c r="E22" s="46" t="inlineStr">
        <is>
          <t>Nº</t>
        </is>
      </c>
      <c r="F22" s="46" t="inlineStr">
        <is>
          <t>JUSTIFICANTES DE GASTO</t>
        </is>
      </c>
      <c r="G22" s="119" t="n"/>
      <c r="H22" s="46" t="inlineStr">
        <is>
          <t>FECHA DE EMISIÓN</t>
        </is>
      </c>
      <c r="I22" s="46" t="inlineStr">
        <is>
          <t>FECHA DE PAGO</t>
        </is>
      </c>
      <c r="J22" s="60" t="inlineStr">
        <is>
          <t>IMPORTE EJECUTADO POR CONCEPTO (€)</t>
        </is>
      </c>
      <c r="K22" s="46" t="inlineStr">
        <is>
          <t>IMPORTE EJECUTADO, POR PARTIDA (€)</t>
        </is>
      </c>
      <c r="L22" s="46" t="inlineStr">
        <is>
          <t>IMPORTE PRESUPUESTADO EN LA SOLICITUD O MODIFICACIÓN APROBADA, POR PARTIDA (€)</t>
        </is>
      </c>
      <c r="M22" s="46" t="inlineStr">
        <is>
          <t xml:space="preserve">DESVIOS
 (€) </t>
        </is>
      </c>
    </row>
    <row r="23" ht="60" customHeight="1">
      <c r="A23" s="127" t="n"/>
      <c r="B23" s="128" t="n"/>
      <c r="C23" s="129" t="n"/>
      <c r="D23" s="130" t="n"/>
      <c r="E23" s="46" t="inlineStr">
        <is>
          <t>Mes y año de la nómina</t>
        </is>
      </c>
      <c r="F23" s="119" t="n"/>
      <c r="G23" s="46" t="inlineStr">
        <is>
          <t>Nombre y apellidos del perceptor</t>
        </is>
      </c>
      <c r="H23" s="130" t="n"/>
      <c r="I23" s="130" t="n"/>
      <c r="J23" s="130" t="n"/>
      <c r="K23" s="130" t="n"/>
      <c r="L23" s="130" t="n"/>
      <c r="M23" s="130" t="n"/>
    </row>
    <row r="24" ht="15.75" customHeight="1">
      <c r="A24" s="127" t="n"/>
      <c r="B24" s="47" t="inlineStr">
        <is>
          <t>COMERCIALIZACION</t>
        </is>
      </c>
      <c r="C24" s="126" t="n"/>
      <c r="D24" s="47" t="inlineStr">
        <is>
          <t>Carles Harillo Magnet</t>
        </is>
      </c>
      <c r="E24" s="11" t="inlineStr">
        <is>
          <t>09/2025</t>
        </is>
      </c>
      <c r="F24" s="11" t="n"/>
      <c r="G24" s="11" t="inlineStr">
        <is>
          <t>Carles Harillo Magnet</t>
        </is>
      </c>
      <c r="H24" s="11" t="inlineStr">
        <is>
          <t>2025-09-29</t>
        </is>
      </c>
      <c r="I24" s="11" t="inlineStr">
        <is>
          <t>2025-09-29</t>
        </is>
      </c>
      <c r="J24" s="11" t="n">
        <v>1309.28</v>
      </c>
      <c r="K24" s="48">
        <f>SUM(J24:J29)</f>
        <v/>
      </c>
      <c r="L24" s="49" t="n">
        <v>7491.61</v>
      </c>
      <c r="M24" s="49">
        <f>L24-K24</f>
        <v/>
      </c>
    </row>
    <row r="25" ht="15.75" customHeight="1">
      <c r="A25" s="127" t="n"/>
      <c r="B25" s="131" t="n"/>
      <c r="C25" s="132" t="n"/>
      <c r="D25" s="47" t="inlineStr">
        <is>
          <t>Seguridad Social</t>
        </is>
      </c>
      <c r="E25" s="11" t="inlineStr"/>
      <c r="F25" s="11" t="n"/>
      <c r="G25" s="11" t="inlineStr">
        <is>
          <t>Seguridad Social</t>
        </is>
      </c>
      <c r="H25" s="11" t="inlineStr"/>
      <c r="I25" s="11" t="inlineStr"/>
      <c r="J25" s="11" t="n">
        <v>539.7</v>
      </c>
      <c r="K25" s="127" t="n"/>
      <c r="L25" s="127" t="n"/>
      <c r="M25" s="127" t="n"/>
    </row>
    <row r="26" ht="15.75" customHeight="1">
      <c r="A26" s="127" t="n"/>
      <c r="B26" s="131" t="n"/>
      <c r="C26" s="132" t="n"/>
      <c r="D26" s="47" t="inlineStr">
        <is>
          <t>Carles Harillo Magnet</t>
        </is>
      </c>
      <c r="E26" s="11" t="inlineStr">
        <is>
          <t>10/2025</t>
        </is>
      </c>
      <c r="F26" s="11" t="n"/>
      <c r="G26" s="11" t="inlineStr">
        <is>
          <t>Carles Harillo Magnet</t>
        </is>
      </c>
      <c r="H26" s="11" t="inlineStr"/>
      <c r="I26" s="11" t="inlineStr"/>
      <c r="J26" s="11" t="n">
        <v>1562.43</v>
      </c>
      <c r="K26" s="127" t="n"/>
      <c r="L26" s="127" t="n"/>
      <c r="M26" s="127" t="n"/>
    </row>
    <row r="27" ht="15.75" customHeight="1">
      <c r="A27" s="127" t="n"/>
      <c r="B27" s="131" t="n"/>
      <c r="C27" s="132" t="n"/>
      <c r="D27" s="47" t="inlineStr">
        <is>
          <t>Seguridad Social</t>
        </is>
      </c>
      <c r="E27" s="11" t="inlineStr"/>
      <c r="F27" s="11" t="n"/>
      <c r="G27" s="11" t="inlineStr">
        <is>
          <t>Seguridad Social</t>
        </is>
      </c>
      <c r="H27" s="11" t="inlineStr"/>
      <c r="I27" s="11" t="inlineStr"/>
      <c r="J27" s="11" t="n">
        <v>539.7</v>
      </c>
      <c r="K27" s="127" t="n"/>
      <c r="L27" s="127" t="n"/>
      <c r="M27" s="127" t="n"/>
    </row>
    <row r="28" ht="15.75" customHeight="1">
      <c r="A28" s="127" t="n"/>
      <c r="B28" s="131" t="n"/>
      <c r="C28" s="132" t="n"/>
      <c r="D28" s="47" t="inlineStr">
        <is>
          <t>Darlene Rodríguez Fernandez</t>
        </is>
      </c>
      <c r="E28" s="11" t="inlineStr"/>
      <c r="F28" s="11" t="n"/>
      <c r="G28" s="11" t="inlineStr">
        <is>
          <t>Darlene Rodríguez Fernandez</t>
        </is>
      </c>
      <c r="H28" s="11" t="inlineStr"/>
      <c r="I28" s="11" t="inlineStr"/>
      <c r="J28" s="11" t="n">
        <v>42.69</v>
      </c>
      <c r="K28" s="127" t="n"/>
      <c r="L28" s="127" t="n"/>
      <c r="M28" s="127" t="n"/>
    </row>
    <row r="29" ht="15.75" customHeight="1">
      <c r="A29" s="127" t="n"/>
      <c r="B29" s="128" t="n"/>
      <c r="C29" s="129" t="n"/>
      <c r="D29" s="47" t="inlineStr">
        <is>
          <t>Seguridad Social</t>
        </is>
      </c>
      <c r="E29" s="11" t="inlineStr"/>
      <c r="F29" s="11" t="n"/>
      <c r="G29" s="11" t="inlineStr">
        <is>
          <t>Seguridad Social</t>
        </is>
      </c>
      <c r="H29" s="11" t="inlineStr"/>
      <c r="I29" s="11" t="inlineStr"/>
      <c r="J29" s="11" t="n">
        <v>51.17</v>
      </c>
      <c r="K29" s="130" t="n"/>
      <c r="L29" s="130" t="n"/>
      <c r="M29" s="130" t="n"/>
    </row>
    <row r="30" ht="74.09999999999999" customHeight="1">
      <c r="A30" s="130" t="n"/>
      <c r="B30" s="61" t="inlineStr">
        <is>
          <t>TOTAL DE GASTOS DE NÓMINAS DE TRABAJADORES</t>
        </is>
      </c>
      <c r="C30" s="118" t="n"/>
      <c r="D30" s="118" t="n"/>
      <c r="E30" s="118" t="n"/>
      <c r="F30" s="118" t="n"/>
      <c r="G30" s="118" t="n"/>
      <c r="H30" s="118" t="n"/>
      <c r="I30" s="119" t="n"/>
      <c r="J30" s="48">
        <f>SUM(J24:J29)</f>
        <v/>
      </c>
      <c r="K30" s="48">
        <f>SUM(J24:J29)</f>
        <v/>
      </c>
      <c r="L30" s="67" t="n"/>
      <c r="M30" s="67" t="n"/>
    </row>
    <row r="31" ht="15.75" customHeight="1">
      <c r="A31" s="133" t="inlineStr">
        <is>
          <t>Gastos
de los trabajos realizados
por el autónomo (máximo 20%
de la ayuda)</t>
        </is>
      </c>
      <c r="B31" s="46" t="inlineStr">
        <is>
          <t>Denominación de la partida
(coincidente con la del Presupuesto Aprobado)</t>
        </is>
      </c>
      <c r="C31" s="126" t="n"/>
      <c r="D31" s="46" t="inlineStr">
        <is>
          <t>Desglosar conceptos de gasto (corresponderán a actuaciones descritas en la memoria del proyecto)</t>
        </is>
      </c>
      <c r="E31" s="46" t="inlineStr">
        <is>
          <t>Mes y año de la nómina</t>
        </is>
      </c>
      <c r="F31" s="126" t="n"/>
      <c r="G31" s="134" t="inlineStr">
        <is>
          <t>Nombre y apellidos del perceptor</t>
        </is>
      </c>
      <c r="H31" s="46" t="inlineStr">
        <is>
          <t>FECHA DE EMISIÓN</t>
        </is>
      </c>
      <c r="I31" s="46" t="inlineStr">
        <is>
          <t>FECHA DE PAGO</t>
        </is>
      </c>
      <c r="J31" s="60" t="inlineStr">
        <is>
          <t>IMPORTE EJECUTADO POR CONCEPTO (€)</t>
        </is>
      </c>
      <c r="K31" s="46" t="inlineStr">
        <is>
          <t>IMPORTE EJECUTADO, POR PARTIDA (€</t>
        </is>
      </c>
      <c r="L31" s="46" t="inlineStr">
        <is>
          <t>IMPORTE PRESUPUESTADO EN LA SOLICITUD O MODIFICACIÓN APROBADA, POR PARTIDA (€</t>
        </is>
      </c>
      <c r="M31" s="46" t="inlineStr">
        <is>
          <t xml:space="preserve">DESVIOS
 (€) </t>
        </is>
      </c>
    </row>
    <row r="32" ht="15.75" customHeight="1">
      <c r="A32" s="123" t="n"/>
      <c r="B32" s="128" t="n"/>
      <c r="C32" s="129" t="n"/>
      <c r="D32" s="130" t="n"/>
      <c r="E32" s="128" t="n"/>
      <c r="F32" s="129" t="n"/>
      <c r="G32" s="129" t="n"/>
      <c r="H32" s="130" t="n"/>
      <c r="I32" s="130" t="n"/>
      <c r="J32" s="130" t="n"/>
      <c r="K32" s="130" t="n"/>
      <c r="L32" s="130" t="n"/>
      <c r="M32" s="130" t="n"/>
    </row>
    <row r="33" ht="15.75" customHeight="1">
      <c r="A33" s="123" t="n"/>
      <c r="B33" s="47" t="inlineStr">
        <is>
          <t>COMUNICACION</t>
        </is>
      </c>
      <c r="D33" s="47" t="inlineStr">
        <is>
          <t>COMUNICACION</t>
        </is>
      </c>
      <c r="E33" s="11" t="inlineStr"/>
      <c r="F33" s="11" t="n"/>
      <c r="G33" s="11" t="inlineStr">
        <is>
          <t>María José Moral Morgado</t>
        </is>
      </c>
      <c r="H33" s="11" t="inlineStr"/>
      <c r="I33" s="11" t="inlineStr"/>
      <c r="J33" s="11" t="n">
        <v>1800</v>
      </c>
      <c r="K33" s="48">
        <f>SUM(J33:J33)</f>
        <v/>
      </c>
      <c r="L33" s="49" t="n">
        <v>2912.92</v>
      </c>
      <c r="M33" s="49">
        <f>L33-K33</f>
        <v/>
      </c>
    </row>
    <row r="34" ht="15.75" customHeight="1">
      <c r="A34" s="123" t="n"/>
      <c r="D34" s="47" t="n"/>
      <c r="E34" s="11" t="n"/>
      <c r="F34" s="11" t="n"/>
      <c r="G34" s="11" t="n"/>
      <c r="H34" s="11" t="n"/>
      <c r="I34" s="11" t="n"/>
      <c r="J34" s="11" t="n"/>
    </row>
    <row r="35" ht="15.75" customHeight="1">
      <c r="A35" s="123" t="n"/>
      <c r="B35" s="66" t="n"/>
      <c r="D35" s="47" t="n"/>
      <c r="E35" s="11" t="n"/>
      <c r="F35" s="11" t="n"/>
      <c r="G35" s="11" t="n"/>
      <c r="H35" s="11" t="n"/>
      <c r="I35" s="11" t="n"/>
      <c r="J35" s="11" t="n"/>
      <c r="K35" s="48" t="n"/>
      <c r="L35" s="49" t="n"/>
      <c r="M35" s="49" t="n"/>
    </row>
    <row r="36" ht="15.75" customHeight="1">
      <c r="A36" s="123" t="n"/>
      <c r="D36" s="47" t="n"/>
      <c r="E36" s="11" t="n"/>
      <c r="F36" s="11" t="n"/>
      <c r="G36" s="11" t="n"/>
      <c r="H36" s="11" t="n"/>
      <c r="I36" s="11" t="n"/>
      <c r="J36" s="11" t="n"/>
    </row>
    <row r="37" ht="15.75" customHeight="1">
      <c r="A37" s="123" t="n"/>
      <c r="B37" s="66" t="n"/>
      <c r="D37" s="47" t="n"/>
      <c r="E37" s="11" t="n"/>
      <c r="F37" s="11" t="n"/>
      <c r="G37" s="11" t="n"/>
      <c r="H37" s="11" t="n"/>
      <c r="I37" s="11" t="n"/>
      <c r="J37" s="11" t="n"/>
      <c r="K37" s="48" t="n"/>
      <c r="L37" s="49" t="n"/>
      <c r="M37" s="49" t="n"/>
    </row>
    <row r="38" ht="74.09999999999999" customHeight="1">
      <c r="A38" s="123" t="n"/>
      <c r="D38" s="47" t="n"/>
      <c r="E38" s="11" t="n"/>
      <c r="F38" s="11" t="n"/>
      <c r="G38" s="11" t="n"/>
      <c r="H38" s="11" t="n"/>
      <c r="I38" s="11" t="n"/>
      <c r="J38" s="11" t="n"/>
    </row>
    <row r="39" ht="15.75" customHeight="1">
      <c r="A39" s="124" t="n"/>
      <c r="B39" s="61" t="inlineStr">
        <is>
          <t>TOTAL DE GASTOS DE LOS TRABAJOS REALIZADOS POR EL AUTÓNOMO</t>
        </is>
      </c>
      <c r="C39" s="118" t="n"/>
      <c r="D39" s="118" t="n"/>
      <c r="E39" s="118" t="n"/>
      <c r="F39" s="118" t="n"/>
      <c r="G39" s="118" t="n"/>
      <c r="H39" s="118" t="n"/>
      <c r="I39" s="119" t="n"/>
      <c r="J39" s="21">
        <f>SUM(J33:J33)</f>
        <v/>
      </c>
      <c r="K39" s="48">
        <f>SUM(J33:J33)</f>
        <v/>
      </c>
      <c r="L39" s="11" t="n"/>
      <c r="M39" s="11" t="n"/>
      <c r="N39" s="20" t="n"/>
    </row>
    <row r="40" ht="15.75" customHeight="1">
      <c r="A40" s="46" t="inlineStr">
        <is>
          <t>Gastos protocolarios y de representación, 
 (máximo 5% de la ayuda)</t>
        </is>
      </c>
      <c r="B40" s="58" t="inlineStr">
        <is>
          <t>Denominación de la partida            (coincidente con la del Presupuesto Aprobado)</t>
        </is>
      </c>
      <c r="C40" s="119" t="n"/>
      <c r="D40" s="46" t="inlineStr">
        <is>
          <t>Desglosar conceptos de gasto (corresponderán a actuaciones descritas en la memoria del proyecto)</t>
        </is>
      </c>
      <c r="E40" s="46" t="inlineStr">
        <is>
          <t>Nº de la factura</t>
        </is>
      </c>
      <c r="F40" s="119" t="n"/>
      <c r="G40" s="46" t="inlineStr">
        <is>
          <t>Emisor</t>
        </is>
      </c>
      <c r="H40" s="46" t="inlineStr">
        <is>
          <t>FECHA DE EMISIÓN</t>
        </is>
      </c>
      <c r="I40" s="46" t="inlineStr">
        <is>
          <t>FECHA DE PAGO</t>
        </is>
      </c>
      <c r="J40" s="14" t="inlineStr">
        <is>
          <t>IMPORTE EJECUTADO POR CONCEPTO (€)</t>
        </is>
      </c>
      <c r="K40" s="46" t="inlineStr">
        <is>
          <t>IMPORTE EJECUTADO, POR PARTIDA(€)</t>
        </is>
      </c>
      <c r="L40" s="46" t="inlineStr">
        <is>
          <t>IMPORTE PRESUPUESTADO EN LA SOLICITUD O MODIFICACIÓN APROBADA, POR PARTIDA (€)</t>
        </is>
      </c>
      <c r="M40" s="46" t="inlineStr">
        <is>
          <t>DESVIOS (€)</t>
        </is>
      </c>
    </row>
    <row r="41" ht="15.75" customHeight="1">
      <c r="A41" s="127" t="n"/>
      <c r="B41" s="66" t="n"/>
      <c r="D41" s="57" t="n"/>
      <c r="E41" s="67" t="n"/>
      <c r="F41" s="67" t="n"/>
      <c r="G41" s="67" t="n"/>
      <c r="H41" s="67" t="n"/>
      <c r="I41" s="67" t="n"/>
      <c r="J41" s="17" t="n"/>
      <c r="K41" s="48" t="n"/>
      <c r="L41" s="67" t="n"/>
      <c r="M41" s="67" t="n"/>
    </row>
    <row r="42" ht="15.75" customHeight="1">
      <c r="A42" s="127" t="n"/>
      <c r="D42" s="66" t="n"/>
      <c r="E42" s="67" t="n"/>
      <c r="F42" s="67" t="n"/>
      <c r="G42" s="67" t="n"/>
      <c r="H42" s="67" t="n"/>
      <c r="I42" s="67" t="n"/>
      <c r="J42" s="67" t="n"/>
    </row>
    <row r="43" ht="15.75" customHeight="1">
      <c r="A43" s="127" t="n"/>
      <c r="B43" s="66" t="n"/>
      <c r="D43" s="66" t="n"/>
      <c r="E43" s="67" t="n"/>
      <c r="F43" s="67" t="n"/>
      <c r="G43" s="67" t="n"/>
      <c r="H43" s="67" t="n"/>
      <c r="I43" s="67" t="n"/>
      <c r="J43" s="67" t="n"/>
      <c r="K43" s="48" t="n"/>
      <c r="L43" s="67" t="n"/>
      <c r="M43" s="67" t="n"/>
    </row>
    <row r="44" ht="74.09999999999999" customHeight="1">
      <c r="A44" s="127" t="n"/>
      <c r="D44" s="66" t="n"/>
      <c r="E44" s="67" t="n"/>
      <c r="F44" s="67" t="n"/>
      <c r="G44" s="67" t="n"/>
      <c r="H44" s="67" t="n"/>
      <c r="I44" s="67" t="n"/>
      <c r="J44" s="67" t="n"/>
    </row>
    <row r="45" ht="15.75" customHeight="1">
      <c r="A45" s="130" t="n"/>
      <c r="B45" s="61" t="inlineStr">
        <is>
          <t>TOTAL DE GASTOS PROTOCOLARIOS Y DE REPRESENTACIÓN</t>
        </is>
      </c>
      <c r="C45" s="118" t="n"/>
      <c r="D45" s="118" t="n"/>
      <c r="E45" s="118" t="n"/>
      <c r="F45" s="118" t="n"/>
      <c r="G45" s="118" t="n"/>
      <c r="H45" s="118" t="n"/>
      <c r="I45" s="119" t="n"/>
      <c r="J45" s="48" t="n">
        <v>0</v>
      </c>
      <c r="K45" s="48" t="n">
        <v>0</v>
      </c>
      <c r="L45" s="67" t="n"/>
      <c r="M45" s="67" t="n"/>
    </row>
    <row r="46" ht="15.75" customHeight="1">
      <c r="A46" s="46" t="inlineStr">
        <is>
          <t>Gastos de proveedores externos: facturas de adquisición de bienes o prestación de servicios</t>
        </is>
      </c>
      <c r="B46" s="58" t="inlineStr">
        <is>
          <t>Denominación de la partida
  (coincidente con la del Presupuesto Aprobado)</t>
        </is>
      </c>
      <c r="C46" s="119" t="n"/>
      <c r="D46" s="46" t="inlineStr">
        <is>
          <t>Desglosar conceptos de gasto (corresponderán a actuaciones descritas en la memoria del proyecto)</t>
        </is>
      </c>
      <c r="E46" s="46" t="inlineStr">
        <is>
          <t>Nº de la factura</t>
        </is>
      </c>
      <c r="F46" s="119" t="n"/>
      <c r="G46" s="46" t="inlineStr">
        <is>
          <t>Emisor</t>
        </is>
      </c>
      <c r="H46" s="46" t="inlineStr">
        <is>
          <t>FECHA DE EMISIÓN</t>
        </is>
      </c>
      <c r="I46" s="46" t="inlineStr">
        <is>
          <t>FECHA DE PAGO</t>
        </is>
      </c>
      <c r="J46" s="14" t="inlineStr">
        <is>
          <t>IMPORTE EJECUTADO POR CONCEPTO (€)</t>
        </is>
      </c>
      <c r="K46" s="46" t="inlineStr">
        <is>
          <t>IMPORTE EJECUTADO, POR PARTIDA(€)</t>
        </is>
      </c>
      <c r="L46" s="46" t="inlineStr">
        <is>
          <t>IMPORTE PRESUPUESTADO EN LA SOLICITUD O MODIFICACIÓN APROBADA, POR PARTIDA (€)</t>
        </is>
      </c>
      <c r="M46" s="46" t="inlineStr">
        <is>
          <t>DESVIOS (€)</t>
        </is>
      </c>
    </row>
    <row r="47" ht="15.75" customHeight="1">
      <c r="A47" s="127" t="n"/>
      <c r="B47" s="47" t="inlineStr">
        <is>
          <t>ALIANZAS ESTRATEGICAS</t>
        </is>
      </c>
      <c r="C47" s="126" t="n"/>
      <c r="D47" s="18" t="inlineStr">
        <is>
          <t>Programas acompañamiento</t>
        </is>
      </c>
      <c r="E47" s="11" t="n">
        <v>1</v>
      </c>
      <c r="F47" s="11" t="n"/>
      <c r="G47" s="11" t="inlineStr">
        <is>
          <t>A.C. Zeena Producciones Teatrales</t>
        </is>
      </c>
      <c r="H47" s="11" t="inlineStr">
        <is>
          <t>2025-11-27</t>
        </is>
      </c>
      <c r="I47" s="11" t="inlineStr"/>
      <c r="J47" s="17" t="n">
        <v>4000</v>
      </c>
      <c r="K47" s="48">
        <f>SUM(J47:J48)</f>
        <v/>
      </c>
      <c r="L47" s="49" t="n">
        <v>4900</v>
      </c>
      <c r="M47" s="49">
        <f>L47-K47</f>
        <v/>
      </c>
    </row>
    <row r="48" ht="15.75" customHeight="1">
      <c r="A48" s="127" t="n"/>
      <c r="B48" s="128" t="n"/>
      <c r="C48" s="129" t="n"/>
      <c r="D48" s="47" t="inlineStr">
        <is>
          <t>DOSSIER PATROCINIO</t>
        </is>
      </c>
      <c r="E48" s="11" t="inlineStr">
        <is>
          <t>F260009</t>
        </is>
      </c>
      <c r="F48" s="11" t="n"/>
      <c r="G48" s="11" t="inlineStr">
        <is>
          <t>POR FIN LUNES S.L.</t>
        </is>
      </c>
      <c r="H48" s="11" t="inlineStr">
        <is>
          <t>2026-01-20</t>
        </is>
      </c>
      <c r="I48" s="11" t="inlineStr"/>
      <c r="J48" s="11" t="n">
        <v>900</v>
      </c>
      <c r="K48" s="130" t="n"/>
      <c r="L48" s="130" t="n"/>
      <c r="M48" s="130" t="n"/>
    </row>
    <row r="49" ht="15.75" customHeight="1">
      <c r="A49" s="127" t="n"/>
      <c r="B49" s="47" t="inlineStr">
        <is>
          <t>COMERCIALIZACION</t>
        </is>
      </c>
      <c r="C49" s="126" t="n"/>
      <c r="D49" s="47" t="inlineStr">
        <is>
          <t>MERCARTES 2025 Stand modular 6m2</t>
        </is>
      </c>
      <c r="E49" s="11" t="inlineStr">
        <is>
          <t>WEB-FS-2500110</t>
        </is>
      </c>
      <c r="F49" s="11" t="n"/>
      <c r="G49" s="11" t="inlineStr">
        <is>
          <t>FAETEDA</t>
        </is>
      </c>
      <c r="H49" s="11" t="inlineStr">
        <is>
          <t>2025-09-01</t>
        </is>
      </c>
      <c r="I49" s="11" t="inlineStr">
        <is>
          <t>2025-09-01</t>
        </is>
      </c>
      <c r="J49" s="11" t="n">
        <v>948</v>
      </c>
      <c r="K49" s="48">
        <f>SUM(J49:J65)</f>
        <v/>
      </c>
      <c r="L49" s="49" t="n">
        <v>7491.61</v>
      </c>
      <c r="M49" s="49">
        <f>L49-K49</f>
        <v/>
      </c>
    </row>
    <row r="50" ht="15.75" customHeight="1">
      <c r="A50" s="127" t="n"/>
      <c r="B50" s="131" t="n"/>
      <c r="C50" s="132" t="n"/>
      <c r="D50" s="47" t="inlineStr">
        <is>
          <t>MERCARTES (comida)</t>
        </is>
      </c>
      <c r="E50" s="11" t="inlineStr">
        <is>
          <t>WEB-TP-251024</t>
        </is>
      </c>
      <c r="F50" s="11" t="n"/>
      <c r="G50" s="11" t="inlineStr">
        <is>
          <t>FAETEDA</t>
        </is>
      </c>
      <c r="H50" s="11" t="inlineStr">
        <is>
          <t>2025-09-18</t>
        </is>
      </c>
      <c r="I50" s="11" t="inlineStr">
        <is>
          <t>2025-09-18</t>
        </is>
      </c>
      <c r="J50" s="11" t="n">
        <v>15.45</v>
      </c>
      <c r="K50" s="127" t="n"/>
      <c r="L50" s="127" t="n"/>
      <c r="M50" s="127" t="n"/>
    </row>
    <row r="51" ht="15.6" customHeight="1">
      <c r="A51" s="127" t="n"/>
      <c r="B51" s="131" t="n"/>
      <c r="C51" s="132" t="n"/>
      <c r="D51" s="47" t="inlineStr">
        <is>
          <t>dietas</t>
        </is>
      </c>
      <c r="E51" s="11" t="inlineStr">
        <is>
          <t>19/2025</t>
        </is>
      </c>
      <c r="F51" s="11" t="n"/>
      <c r="G51" s="11" t="inlineStr">
        <is>
          <t>CUANDO SALI DE CUBA</t>
        </is>
      </c>
      <c r="H51" s="11" t="inlineStr">
        <is>
          <t>2025-09-18</t>
        </is>
      </c>
      <c r="I51" s="11" t="inlineStr">
        <is>
          <t>2025-09-18</t>
        </is>
      </c>
      <c r="J51" s="11" t="n">
        <v>49.87</v>
      </c>
      <c r="K51" s="127" t="n"/>
      <c r="L51" s="127" t="n"/>
      <c r="M51" s="127" t="n"/>
    </row>
    <row r="52" ht="15.6" customHeight="1">
      <c r="A52" s="127" t="n"/>
      <c r="B52" s="131" t="n"/>
      <c r="C52" s="132" t="n"/>
      <c r="D52" s="47" t="inlineStr">
        <is>
          <t>MERCARTES (comida)</t>
        </is>
      </c>
      <c r="E52" s="11" t="inlineStr">
        <is>
          <t>WEB-TP-251073</t>
        </is>
      </c>
      <c r="F52" s="11" t="n"/>
      <c r="G52" s="11" t="inlineStr">
        <is>
          <t>FAETEDA</t>
        </is>
      </c>
      <c r="H52" s="11" t="inlineStr">
        <is>
          <t>2025-09-19</t>
        </is>
      </c>
      <c r="I52" s="11" t="inlineStr">
        <is>
          <t>2025-09-19</t>
        </is>
      </c>
      <c r="J52" s="11" t="n">
        <v>15.45</v>
      </c>
      <c r="K52" s="127" t="n"/>
      <c r="L52" s="127" t="n"/>
      <c r="M52" s="127" t="n"/>
    </row>
    <row r="53" ht="15.6" customHeight="1">
      <c r="A53" s="127" t="n"/>
      <c r="B53" s="131" t="n"/>
      <c r="C53" s="132" t="n"/>
      <c r="D53" s="47" t="inlineStr">
        <is>
          <t>MERCARTES (comida)</t>
        </is>
      </c>
      <c r="E53" s="11" t="inlineStr">
        <is>
          <t>WEB-TP-251174</t>
        </is>
      </c>
      <c r="F53" s="11" t="n"/>
      <c r="G53" s="11" t="inlineStr">
        <is>
          <t>FAETEDA</t>
        </is>
      </c>
      <c r="H53" s="11" t="inlineStr">
        <is>
          <t>2025-09-30</t>
        </is>
      </c>
      <c r="I53" s="11" t="inlineStr">
        <is>
          <t>2025-09-30</t>
        </is>
      </c>
      <c r="J53" s="11" t="n">
        <v>15.45</v>
      </c>
      <c r="K53" s="127" t="n"/>
      <c r="L53" s="127" t="n"/>
      <c r="M53" s="127" t="n"/>
    </row>
    <row r="54" ht="15.6" customHeight="1">
      <c r="A54" s="127" t="n"/>
      <c r="B54" s="131" t="n"/>
      <c r="C54" s="132" t="n"/>
      <c r="D54" s="47" t="inlineStr">
        <is>
          <t>FACTURA DEL BILLETE: 7290601903781 - 08178 - VALLADOLID-CAMPO GRANDE - MADRID-CHAMARTÍN-CLARA CA - F. VIAJE: 22-10-2025 - LOC: 2B6GGU</t>
        </is>
      </c>
      <c r="E54" s="11" t="inlineStr">
        <is>
          <t>VJ00000016362846</t>
        </is>
      </c>
      <c r="F54" s="11" t="n"/>
      <c r="G54" s="11" t="inlineStr">
        <is>
          <t>RENFE</t>
        </is>
      </c>
      <c r="H54" s="11" t="inlineStr">
        <is>
          <t>2025-09-30</t>
        </is>
      </c>
      <c r="I54" s="11" t="inlineStr">
        <is>
          <t>2025-09-30</t>
        </is>
      </c>
      <c r="J54" s="11" t="n">
        <v>28.27</v>
      </c>
      <c r="K54" s="127" t="n"/>
      <c r="L54" s="127" t="n"/>
      <c r="M54" s="127" t="n"/>
    </row>
    <row r="55" ht="15.6" customHeight="1">
      <c r="A55" s="127" t="n"/>
      <c r="B55" s="131" t="n"/>
      <c r="C55" s="132" t="n"/>
      <c r="D55" s="47" t="inlineStr">
        <is>
          <t>Aceso Wifi Monopuesto</t>
        </is>
      </c>
      <c r="E55" s="11" t="inlineStr">
        <is>
          <t>E000629</t>
        </is>
      </c>
      <c r="F55" s="11" t="n"/>
      <c r="G55" s="11" t="inlineStr">
        <is>
          <t>FERIA DE VALLADOLID</t>
        </is>
      </c>
      <c r="H55" s="11" t="inlineStr">
        <is>
          <t>2025-09-30</t>
        </is>
      </c>
      <c r="I55" s="11" t="inlineStr">
        <is>
          <t>2025-09-30</t>
        </is>
      </c>
      <c r="J55" s="11" t="n">
        <v>60</v>
      </c>
      <c r="K55" s="127" t="n"/>
      <c r="L55" s="127" t="n"/>
      <c r="M55" s="127" t="n"/>
    </row>
    <row r="56" ht="14.45" customHeight="1">
      <c r="A56" s="127" t="n"/>
      <c r="B56" s="131" t="n"/>
      <c r="C56" s="132" t="n"/>
      <c r="D56" s="47" t="inlineStr">
        <is>
          <t>Gasolina</t>
        </is>
      </c>
      <c r="E56" s="11" t="inlineStr">
        <is>
          <t>802817-90293</t>
        </is>
      </c>
      <c r="F56" s="11" t="n"/>
      <c r="G56" s="11" t="inlineStr">
        <is>
          <t>Q8 ENERGY RED S.L.U.</t>
        </is>
      </c>
      <c r="H56" s="11" t="inlineStr">
        <is>
          <t>2025-10-20</t>
        </is>
      </c>
      <c r="I56" s="11" t="inlineStr">
        <is>
          <t>2025-10-20</t>
        </is>
      </c>
      <c r="J56" s="11" t="n">
        <v>50.14</v>
      </c>
      <c r="K56" s="127" t="n"/>
      <c r="L56" s="127" t="n"/>
      <c r="M56" s="127" t="n"/>
    </row>
    <row r="57" ht="60.6" customHeight="1">
      <c r="A57" s="127" t="n"/>
      <c r="B57" s="131" t="n"/>
      <c r="C57" s="132" t="n"/>
      <c r="D57" s="47" t="inlineStr">
        <is>
          <t>Desayuno</t>
        </is>
      </c>
      <c r="E57" s="11" t="inlineStr">
        <is>
          <t>RVA/74241</t>
        </is>
      </c>
      <c r="F57" s="11" t="n"/>
      <c r="G57" s="11" t="inlineStr">
        <is>
          <t>VALCARCE SAN VICENTE</t>
        </is>
      </c>
      <c r="H57" s="11" t="inlineStr">
        <is>
          <t>2025-10-21</t>
        </is>
      </c>
      <c r="I57" s="11" t="inlineStr">
        <is>
          <t>2025-10-21</t>
        </is>
      </c>
      <c r="J57" s="11" t="n">
        <v>8.449999999999999</v>
      </c>
      <c r="K57" s="127" t="n"/>
      <c r="L57" s="127" t="n"/>
      <c r="M57" s="127" t="n"/>
    </row>
    <row r="58" ht="15.75" customHeight="1">
      <c r="A58" s="127" t="n"/>
      <c r="B58" s="131" t="n"/>
      <c r="C58" s="132" t="n"/>
      <c r="D58" s="47" t="inlineStr">
        <is>
          <t>Cena</t>
        </is>
      </c>
      <c r="E58" s="11" t="inlineStr">
        <is>
          <t>10A</t>
        </is>
      </c>
      <c r="F58" s="11" t="n"/>
      <c r="G58" s="11" t="inlineStr">
        <is>
          <t>BAR LA BODEGUILLA</t>
        </is>
      </c>
      <c r="H58" s="11" t="inlineStr">
        <is>
          <t>2025-10-22</t>
        </is>
      </c>
      <c r="I58" s="11" t="inlineStr">
        <is>
          <t>2025-10-22</t>
        </is>
      </c>
      <c r="J58" s="11" t="n">
        <v>15</v>
      </c>
      <c r="K58" s="127" t="n"/>
      <c r="L58" s="127" t="n"/>
      <c r="M58" s="127" t="n"/>
    </row>
    <row r="59" ht="15.75" customHeight="1">
      <c r="A59" s="127" t="n"/>
      <c r="B59" s="131" t="n"/>
      <c r="C59" s="132" t="n"/>
      <c r="D59" s="47" t="inlineStr">
        <is>
          <t>FACTURA DEL BILLETE: 7773201905785 - 04091 - MADRID-CHAMARTÍN-CLARA CA - VALLADOLID-CAMPO GRANDE - F. VIAJE: 21-10-2025 - LOC: UU8S7S</t>
        </is>
      </c>
      <c r="E59" s="11" t="inlineStr">
        <is>
          <t>VJ00000016470244</t>
        </is>
      </c>
      <c r="F59" s="11" t="n"/>
      <c r="G59" s="11" t="inlineStr">
        <is>
          <t>RENFE</t>
        </is>
      </c>
      <c r="H59" s="11" t="inlineStr">
        <is>
          <t>2025-10-20</t>
        </is>
      </c>
      <c r="I59" s="11" t="inlineStr">
        <is>
          <t>2025-10-20</t>
        </is>
      </c>
      <c r="J59" s="11" t="n">
        <v>27.09</v>
      </c>
      <c r="K59" s="127" t="n"/>
      <c r="L59" s="127" t="n"/>
      <c r="M59" s="127" t="n"/>
    </row>
    <row r="60" ht="15.75" customHeight="1">
      <c r="A60" s="127" t="n"/>
      <c r="B60" s="131" t="n"/>
      <c r="C60" s="132" t="n"/>
      <c r="D60" s="47" t="inlineStr">
        <is>
          <t>Cena 21/10/2025</t>
        </is>
      </c>
      <c r="E60" s="11" t="inlineStr">
        <is>
          <t>F09-71</t>
        </is>
      </c>
      <c r="F60" s="11" t="n"/>
      <c r="G60" s="11" t="inlineStr">
        <is>
          <t>BUGA RAMEN</t>
        </is>
      </c>
      <c r="H60" s="11" t="inlineStr">
        <is>
          <t>2025-10-21</t>
        </is>
      </c>
      <c r="I60" s="11" t="inlineStr">
        <is>
          <t>2025-10-21</t>
        </is>
      </c>
      <c r="J60" s="11" t="n">
        <v>47.73</v>
      </c>
      <c r="K60" s="127" t="n"/>
      <c r="L60" s="127" t="n"/>
      <c r="M60" s="127" t="n"/>
    </row>
    <row r="61" ht="15.75" customHeight="1">
      <c r="A61" s="127" t="n"/>
      <c r="B61" s="131" t="n"/>
      <c r="C61" s="132" t="n"/>
      <c r="D61" s="47" t="inlineStr">
        <is>
          <t>Comida María 22/10</t>
        </is>
      </c>
      <c r="E61" s="11" t="inlineStr">
        <is>
          <t>T-10742</t>
        </is>
      </c>
      <c r="F61" s="11" t="n"/>
      <c r="G61" s="11" t="inlineStr">
        <is>
          <t>EFERMA TAPAS Y VINOS</t>
        </is>
      </c>
      <c r="H61" s="11" t="inlineStr">
        <is>
          <t>2025-10-22</t>
        </is>
      </c>
      <c r="I61" s="11" t="inlineStr">
        <is>
          <t>2025-10-22</t>
        </is>
      </c>
      <c r="J61" s="11" t="n">
        <v>18.41</v>
      </c>
      <c r="K61" s="127" t="n"/>
      <c r="L61" s="127" t="n"/>
      <c r="M61" s="127" t="n"/>
    </row>
    <row r="62" ht="15.75" customHeight="1">
      <c r="A62" s="127" t="n"/>
      <c r="B62" s="131" t="n"/>
      <c r="C62" s="132" t="n"/>
      <c r="D62" s="47" t="inlineStr">
        <is>
          <t>Apartamento Valladolid</t>
        </is>
      </c>
      <c r="E62" s="11" t="inlineStr">
        <is>
          <t>2847</t>
        </is>
      </c>
      <c r="F62" s="11" t="n"/>
      <c r="G62" s="11" t="inlineStr">
        <is>
          <t>NAIRAALB 114 S.L.</t>
        </is>
      </c>
      <c r="H62" s="11" t="inlineStr">
        <is>
          <t>2025-10-25</t>
        </is>
      </c>
      <c r="I62" s="11" t="inlineStr">
        <is>
          <t>2025-10-25</t>
        </is>
      </c>
      <c r="J62" s="11" t="n">
        <v>192</v>
      </c>
      <c r="K62" s="127" t="n"/>
      <c r="L62" s="127" t="n"/>
      <c r="M62" s="127" t="n"/>
    </row>
    <row r="63" ht="15.75" customHeight="1">
      <c r="A63" s="127" t="n"/>
      <c r="B63" s="131" t="n"/>
      <c r="C63" s="132" t="n"/>
      <c r="D63" s="47" t="inlineStr">
        <is>
          <t>e-mail marketing</t>
        </is>
      </c>
      <c r="E63" s="11" t="inlineStr">
        <is>
          <t>SIB-4109801</t>
        </is>
      </c>
      <c r="F63" s="11" t="n"/>
      <c r="G63" s="11" t="inlineStr">
        <is>
          <t>Sendinblue</t>
        </is>
      </c>
      <c r="H63" s="11" t="inlineStr">
        <is>
          <t>2025-11-21</t>
        </is>
      </c>
      <c r="I63" s="11" t="inlineStr"/>
      <c r="J63" s="11" t="n">
        <v>180.09</v>
      </c>
      <c r="K63" s="127" t="n"/>
      <c r="L63" s="127" t="n"/>
      <c r="M63" s="127" t="n"/>
    </row>
    <row r="64" ht="74.09999999999999" customHeight="1">
      <c r="A64" s="127" t="n"/>
      <c r="B64" s="131" t="n"/>
      <c r="C64" s="132" t="n"/>
      <c r="D64" s="47" t="inlineStr">
        <is>
          <t>CAMPAÑA MARKETING</t>
        </is>
      </c>
      <c r="E64" s="11" t="n">
        <v>18</v>
      </c>
      <c r="F64" s="11" t="n"/>
      <c r="G64" s="11" t="inlineStr">
        <is>
          <t>A.C. ZEENA PRODUCCIONES TEATRALES</t>
        </is>
      </c>
      <c r="H64" s="11" t="inlineStr"/>
      <c r="I64" s="11" t="inlineStr"/>
      <c r="J64" s="11" t="n">
        <v>2660</v>
      </c>
      <c r="K64" s="127" t="n"/>
      <c r="L64" s="127" t="n"/>
      <c r="M64" s="127" t="n"/>
    </row>
    <row r="65" ht="15.75" customHeight="1">
      <c r="A65" s="127" t="n"/>
      <c r="B65" s="128" t="n"/>
      <c r="C65" s="129" t="n"/>
      <c r="D65" s="47" t="inlineStr">
        <is>
          <t>AUTOMATIZACIÓN DE REPORTING</t>
        </is>
      </c>
      <c r="E65" s="11" t="n">
        <v>19</v>
      </c>
      <c r="F65" s="11" t="n"/>
      <c r="G65" s="11" t="inlineStr">
        <is>
          <t>A.C. ZEENA PRODUCCIONES TEATRALES</t>
        </is>
      </c>
      <c r="H65" s="11" t="inlineStr"/>
      <c r="I65" s="11" t="inlineStr"/>
      <c r="J65" s="11" t="n">
        <v>3283.559</v>
      </c>
      <c r="K65" s="130" t="n"/>
      <c r="L65" s="130" t="n"/>
      <c r="M65" s="130" t="n"/>
    </row>
    <row r="66" ht="15.75" customHeight="1">
      <c r="A66" s="127" t="n"/>
      <c r="B66" t="inlineStr">
        <is>
          <t>COMUNICACION</t>
        </is>
      </c>
      <c r="D66" s="47" t="inlineStr">
        <is>
          <t>Compra TV Philips LED 55PUS7000 55" 4K Ultra HD Smart TV HDR10+ Dolby Atmos WiFi Bluetooth</t>
        </is>
      </c>
      <c r="E66" s="11" t="inlineStr">
        <is>
          <t>12025/296664</t>
        </is>
      </c>
      <c r="F66" s="11" t="n"/>
      <c r="G66" s="11" t="inlineStr">
        <is>
          <t>PC Componentes y Multimedia SLU</t>
        </is>
      </c>
      <c r="H66" s="11" t="inlineStr">
        <is>
          <t>2025-09-11</t>
        </is>
      </c>
      <c r="I66" s="11" t="inlineStr">
        <is>
          <t>2025-09-11</t>
        </is>
      </c>
      <c r="J66" s="11" t="n">
        <v>264.45</v>
      </c>
      <c r="K66">
        <f>SUM(J66:J81)</f>
        <v/>
      </c>
      <c r="L66" t="n">
        <v>2912.92</v>
      </c>
      <c r="M66">
        <f>L66-K66</f>
        <v/>
      </c>
    </row>
    <row r="67" ht="15.75" customHeight="1">
      <c r="A67" s="127" t="n"/>
      <c r="D67" s="47" t="inlineStr">
        <is>
          <t>BONTEC Soporte TV Ruedas para TVs 23 a 60 Pulgadas de LED, LCD, OLED Planos y Curvos, Soporte TV Móvil con Inclinables y Estante para Medios, hasta 25 kg, Máx. VESA 400x400mm | B0BNZXBGJ1</t>
        </is>
      </c>
      <c r="E67" s="11" t="inlineStr">
        <is>
          <t>DS-AEU-INV-ES-2025-91122014</t>
        </is>
      </c>
      <c r="F67" s="11" t="n"/>
      <c r="G67" s="11" t="inlineStr">
        <is>
          <t>Amazon EU S.a.r.L.</t>
        </is>
      </c>
      <c r="H67" s="11" t="inlineStr">
        <is>
          <t>2025-09-23</t>
        </is>
      </c>
      <c r="I67" s="11" t="inlineStr">
        <is>
          <t>2025-09-23</t>
        </is>
      </c>
      <c r="J67" s="11" t="n">
        <v>35.53</v>
      </c>
    </row>
    <row r="68" ht="15.75" customHeight="1">
      <c r="A68" s="127" t="n"/>
      <c r="D68" s="47" t="inlineStr">
        <is>
          <t>Fabrisa Rollo Papel Kraft 1X10MTS</t>
        </is>
      </c>
      <c r="E68" s="11" t="inlineStr">
        <is>
          <t>F2022265</t>
        </is>
      </c>
      <c r="F68" s="11" t="n"/>
      <c r="G68" s="11" t="inlineStr">
        <is>
          <t>MENDOPAPELERIA</t>
        </is>
      </c>
      <c r="H68" s="11" t="inlineStr">
        <is>
          <t>2025-10-07</t>
        </is>
      </c>
      <c r="I68" s="11" t="inlineStr">
        <is>
          <t>2025-10-07</t>
        </is>
      </c>
      <c r="J68" s="11" t="n">
        <v>6.05</v>
      </c>
    </row>
    <row r="69" ht="15.75" customHeight="1">
      <c r="A69" s="127" t="n"/>
      <c r="D69" s="47" t="inlineStr">
        <is>
          <t>Impresión</t>
        </is>
      </c>
      <c r="E69" s="11" t="inlineStr">
        <is>
          <t>219-2025</t>
        </is>
      </c>
      <c r="F69" s="11" t="n"/>
      <c r="G69" s="11" t="inlineStr">
        <is>
          <t>GRAFICAS FAMILIA SANCHEZ S.L.</t>
        </is>
      </c>
      <c r="H69" s="11" t="inlineStr">
        <is>
          <t>2025-10-09</t>
        </is>
      </c>
      <c r="I69" s="11" t="inlineStr">
        <is>
          <t>2025-10-09</t>
        </is>
      </c>
      <c r="J69" s="11" t="n">
        <v>310</v>
      </c>
    </row>
    <row r="70" ht="74.09999999999999" customHeight="1">
      <c r="A70" s="127" t="n"/>
      <c r="D70" s="47" t="inlineStr">
        <is>
          <t>Compras</t>
        </is>
      </c>
      <c r="E70" s="11" t="inlineStr">
        <is>
          <t>2025101599</t>
        </is>
      </c>
      <c r="F70" s="11" t="n"/>
      <c r="G70" s="11" t="inlineStr">
        <is>
          <t>HEUREH GROUP S.L</t>
        </is>
      </c>
      <c r="H70" s="11" t="inlineStr">
        <is>
          <t>2025-10-19</t>
        </is>
      </c>
      <c r="I70" s="11" t="inlineStr">
        <is>
          <t>2025-10-19</t>
        </is>
      </c>
      <c r="J70" s="11" t="n">
        <v>15.53</v>
      </c>
    </row>
    <row r="71" ht="15.75" customHeight="1">
      <c r="A71" s="127" t="n"/>
      <c r="D71" s="47" t="inlineStr">
        <is>
          <t>Compres</t>
        </is>
      </c>
      <c r="E71" s="11" t="inlineStr">
        <is>
          <t>A-V2025-00005238950</t>
        </is>
      </c>
      <c r="F71" s="11" t="n"/>
      <c r="G71" s="11" t="inlineStr">
        <is>
          <t>MERCADONA S.A.</t>
        </is>
      </c>
      <c r="H71" s="11" t="inlineStr">
        <is>
          <t>2025-10-20</t>
        </is>
      </c>
      <c r="I71" s="11" t="inlineStr">
        <is>
          <t>2025-10-20</t>
        </is>
      </c>
      <c r="J71" s="11" t="n">
        <v>14.56</v>
      </c>
    </row>
    <row r="72" ht="15.75" customHeight="1">
      <c r="A72" s="127" t="n"/>
      <c r="D72" s="47" t="inlineStr">
        <is>
          <t>BASE 5 TOMA CON CABLE 2M</t>
        </is>
      </c>
      <c r="E72" s="11" t="inlineStr">
        <is>
          <t>FACT-001952</t>
        </is>
      </c>
      <c r="F72" s="11" t="n"/>
      <c r="G72" s="11" t="inlineStr">
        <is>
          <t>FERRETERIA SAN DIEGO S.L.U.</t>
        </is>
      </c>
      <c r="H72" s="11" t="inlineStr">
        <is>
          <t>2025-10-20</t>
        </is>
      </c>
      <c r="I72" s="11" t="inlineStr">
        <is>
          <t>2025-10-20</t>
        </is>
      </c>
      <c r="J72" s="11" t="n">
        <v>10.3306</v>
      </c>
    </row>
    <row r="73" ht="15.75" customHeight="1">
      <c r="A73" s="127" t="n"/>
      <c r="D73" s="47" t="inlineStr">
        <is>
          <t>Honorarios por activación del stand de EnGira en Feria Mercartes el 22 de octubre con “100 cosas que hacer hoy mejor que ver este espectáculo”.</t>
        </is>
      </c>
      <c r="E73" s="11" t="inlineStr">
        <is>
          <t>5</t>
        </is>
      </c>
      <c r="F73" s="11" t="n"/>
      <c r="G73" s="11" t="inlineStr">
        <is>
          <t>PALOMA CALLE</t>
        </is>
      </c>
      <c r="H73" s="11" t="inlineStr">
        <is>
          <t>2025-10-10</t>
        </is>
      </c>
      <c r="I73" s="11" t="inlineStr">
        <is>
          <t>2025-10-10</t>
        </is>
      </c>
      <c r="J73" s="11" t="n">
        <v>300</v>
      </c>
    </row>
    <row r="74" ht="15.75" customHeight="1">
      <c r="A74" s="127" t="n"/>
      <c r="D74" s="47" t="inlineStr">
        <is>
          <t>Publicidad IG</t>
        </is>
      </c>
      <c r="E74" s="11" t="inlineStr">
        <is>
          <t>‭682053251052‬</t>
        </is>
      </c>
      <c r="F74" s="11" t="n"/>
      <c r="G74" s="11" t="inlineStr">
        <is>
          <t>Instagram</t>
        </is>
      </c>
      <c r="H74" s="11" t="inlineStr">
        <is>
          <t>2025-11-23</t>
        </is>
      </c>
      <c r="I74" s="11" t="inlineStr"/>
      <c r="J74" s="11" t="n">
        <v>12.91</v>
      </c>
    </row>
    <row r="75" ht="15.75" customHeight="1">
      <c r="A75" s="127" t="n"/>
      <c r="D75" s="47" t="inlineStr">
        <is>
          <t>soporte webinar</t>
        </is>
      </c>
      <c r="E75" s="11" t="inlineStr">
        <is>
          <t>INV328281907</t>
        </is>
      </c>
      <c r="F75" s="11" t="n"/>
      <c r="G75" s="11" t="inlineStr">
        <is>
          <t>Zoom Communications, Inc.</t>
        </is>
      </c>
      <c r="H75" s="11" t="inlineStr">
        <is>
          <t>2025-11-03</t>
        </is>
      </c>
      <c r="I75" s="11" t="inlineStr"/>
      <c r="J75" s="11" t="n">
        <v>97.98999999999999</v>
      </c>
    </row>
    <row r="76" ht="15.75" customHeight="1">
      <c r="A76" s="127" t="n"/>
      <c r="D76" s="47" t="inlineStr">
        <is>
          <t>soporte webinar</t>
        </is>
      </c>
      <c r="E76" s="11" t="inlineStr">
        <is>
          <t>INV345039957</t>
        </is>
      </c>
      <c r="F76" s="11" t="n"/>
      <c r="G76" s="11" t="inlineStr">
        <is>
          <t>Zoom Communications, Inc.</t>
        </is>
      </c>
      <c r="H76" s="11" t="inlineStr">
        <is>
          <t>2026-03-09</t>
        </is>
      </c>
      <c r="I76" s="11" t="inlineStr"/>
      <c r="J76" s="11" t="n">
        <v>15.99</v>
      </c>
    </row>
    <row r="77" ht="15.75" customHeight="1">
      <c r="A77" s="127" t="n"/>
      <c r="D77" s="47" t="inlineStr">
        <is>
          <t>soporte webinar</t>
        </is>
      </c>
      <c r="E77" s="11" t="inlineStr">
        <is>
          <t>INV341096775</t>
        </is>
      </c>
      <c r="F77" s="11" t="n"/>
      <c r="G77" s="11" t="inlineStr">
        <is>
          <t>Zoom Communications, Inc.</t>
        </is>
      </c>
      <c r="H77" s="11" t="inlineStr">
        <is>
          <t>2026-02-09</t>
        </is>
      </c>
      <c r="I77" s="11" t="inlineStr"/>
      <c r="J77" s="11" t="n">
        <v>15.99</v>
      </c>
    </row>
    <row r="78" ht="74.09999999999999" customHeight="1">
      <c r="A78" s="127" t="n"/>
      <c r="D78" s="47" t="inlineStr">
        <is>
          <t>soporte webinar</t>
        </is>
      </c>
      <c r="E78" s="11" t="inlineStr">
        <is>
          <t>INV337023537</t>
        </is>
      </c>
      <c r="F78" s="11" t="n"/>
      <c r="G78" s="11" t="inlineStr">
        <is>
          <t>Zoom Communications, Inc.</t>
        </is>
      </c>
      <c r="H78" s="11" t="inlineStr">
        <is>
          <t>2026-01-09</t>
        </is>
      </c>
      <c r="I78" s="11" t="inlineStr"/>
      <c r="J78" s="11" t="n">
        <v>13.59</v>
      </c>
    </row>
    <row r="79" ht="15.75" customHeight="1">
      <c r="A79" s="127" t="n"/>
      <c r="D79" s="47" t="inlineStr">
        <is>
          <t>SOPORTE WEBINAR</t>
        </is>
      </c>
      <c r="E79" s="11" t="inlineStr">
        <is>
          <t>INV357460022</t>
        </is>
      </c>
      <c r="F79" s="11" t="n"/>
      <c r="G79" s="11" t="inlineStr">
        <is>
          <t>Zoom Communications, Inc.</t>
        </is>
      </c>
      <c r="H79" s="11" t="inlineStr">
        <is>
          <t>2026-06-09</t>
        </is>
      </c>
      <c r="I79" s="11" t="inlineStr"/>
      <c r="J79" s="11" t="n">
        <v>15.99</v>
      </c>
    </row>
    <row r="80" ht="15.75" customHeight="1">
      <c r="A80" s="127" t="n"/>
      <c r="D80" s="47" t="inlineStr">
        <is>
          <t>SOPORTE WEBINAR</t>
        </is>
      </c>
      <c r="E80" s="11" t="inlineStr">
        <is>
          <t>INV353435789</t>
        </is>
      </c>
      <c r="F80" s="11" t="n"/>
      <c r="G80" s="11" t="inlineStr">
        <is>
          <t>Zoom Communications, Inc.</t>
        </is>
      </c>
      <c r="H80" s="11" t="inlineStr">
        <is>
          <t>2026-05-09</t>
        </is>
      </c>
      <c r="I80" s="11" t="inlineStr"/>
      <c r="J80" s="11" t="n">
        <v>15.99</v>
      </c>
    </row>
    <row r="81" ht="15.75" customHeight="1">
      <c r="A81" s="127" t="n"/>
      <c r="D81" s="47" t="inlineStr">
        <is>
          <t>SOPORTE WEBINAR</t>
        </is>
      </c>
      <c r="E81" s="11" t="inlineStr">
        <is>
          <t>INV349200211</t>
        </is>
      </c>
      <c r="F81" s="11" t="n"/>
      <c r="G81" s="11" t="inlineStr">
        <is>
          <t>Zoom Communications, Inc.</t>
        </is>
      </c>
      <c r="H81" s="11" t="inlineStr">
        <is>
          <t>2026-04-09</t>
        </is>
      </c>
      <c r="I81" s="11" t="inlineStr"/>
      <c r="J81" s="11" t="n">
        <v>15.99</v>
      </c>
    </row>
    <row r="82" ht="15.75" customHeight="1">
      <c r="A82" s="127" t="n"/>
      <c r="B82" t="inlineStr">
        <is>
          <t>FORMACION</t>
        </is>
      </c>
      <c r="D82" s="47" t="inlineStr">
        <is>
          <t>Bootcamp Data Analytics</t>
        </is>
      </c>
      <c r="E82" s="11" t="inlineStr">
        <is>
          <t>250217</t>
        </is>
      </c>
      <c r="F82" s="11" t="n"/>
      <c r="G82" s="11" t="inlineStr">
        <is>
          <t>DIVERSALAB SL</t>
        </is>
      </c>
      <c r="H82" s="11" t="inlineStr">
        <is>
          <t>2025-12-02</t>
        </is>
      </c>
      <c r="I82" s="11" t="inlineStr"/>
      <c r="J82" s="11" t="n">
        <v>3650</v>
      </c>
      <c r="K82">
        <f>SUM(J82:J82)</f>
        <v/>
      </c>
      <c r="L82" t="n">
        <v>3650</v>
      </c>
      <c r="M82">
        <f>L82-K82</f>
        <v/>
      </c>
    </row>
    <row r="83" ht="15.75" customHeight="1">
      <c r="A83" s="127" t="n"/>
      <c r="B83" t="inlineStr">
        <is>
          <t>INVESTIGACION</t>
        </is>
      </c>
      <c r="D83" s="47" t="inlineStr">
        <is>
          <t>Artículo Datos y Gestion</t>
        </is>
      </c>
      <c r="E83" s="11" t="inlineStr">
        <is>
          <t>07/26</t>
        </is>
      </c>
      <c r="F83" s="11" t="n"/>
      <c r="G83" s="11" t="inlineStr">
        <is>
          <t>Álvaro Fernández Caboalles</t>
        </is>
      </c>
      <c r="H83" s="11" t="inlineStr">
        <is>
          <t>2026-05-13</t>
        </is>
      </c>
      <c r="I83" s="11" t="inlineStr"/>
      <c r="J83" s="11" t="n">
        <v>480</v>
      </c>
      <c r="K83">
        <f>SUM(J83:J83)</f>
        <v/>
      </c>
    </row>
    <row r="84" ht="15.75" customHeight="1">
      <c r="A84" s="127" t="n"/>
      <c r="B84" t="inlineStr">
        <is>
          <t>LABORAL</t>
        </is>
      </c>
      <c r="D84" s="47" t="inlineStr">
        <is>
          <t>Gestoria</t>
        </is>
      </c>
      <c r="E84" s="11" t="inlineStr">
        <is>
          <t>2501003</t>
        </is>
      </c>
      <c r="F84" s="11" t="n"/>
      <c r="G84" s="11" t="inlineStr">
        <is>
          <t>Víctor García Marín</t>
        </is>
      </c>
      <c r="H84" s="11" t="inlineStr">
        <is>
          <t>2025-12-15</t>
        </is>
      </c>
      <c r="I84" s="11" t="inlineStr"/>
      <c r="J84" s="11" t="n">
        <v>110</v>
      </c>
      <c r="K84">
        <f>SUM(J84:J84)</f>
        <v/>
      </c>
      <c r="L84" t="n">
        <v>110</v>
      </c>
      <c r="M84">
        <f>L84-K84</f>
        <v/>
      </c>
    </row>
    <row r="85">
      <c r="A85" s="127" t="n"/>
      <c r="B85" t="inlineStr">
        <is>
          <t>LEGAL</t>
        </is>
      </c>
      <c r="D85" s="47" t="inlineStr">
        <is>
          <t>RGPD: Adecuación para Empresas hasta 5 trab.</t>
        </is>
      </c>
      <c r="E85" s="11" t="inlineStr">
        <is>
          <t>6C583135656E4F4B6D486C3264773D3D</t>
        </is>
      </c>
      <c r="F85" s="11" t="n"/>
      <c r="G85" s="11" t="inlineStr">
        <is>
          <t>LABORAL RGPD S.L.U.</t>
        </is>
      </c>
      <c r="H85" s="11" t="inlineStr">
        <is>
          <t>2025-10-14</t>
        </is>
      </c>
      <c r="I85" s="11" t="inlineStr">
        <is>
          <t>2025-10-14</t>
        </is>
      </c>
      <c r="J85" s="11" t="n">
        <v>173.79</v>
      </c>
      <c r="K85">
        <f>SUM(J85:J85)</f>
        <v/>
      </c>
      <c r="L85" t="n">
        <v>173.79</v>
      </c>
      <c r="M85">
        <f>L85-K85</f>
        <v/>
      </c>
    </row>
    <row r="86" ht="14.45" customHeight="1">
      <c r="A86" s="127" t="n"/>
      <c r="B86" t="inlineStr">
        <is>
          <t>SOFTWARE</t>
        </is>
      </c>
      <c r="D86" s="47" t="inlineStr">
        <is>
          <t>Servidor</t>
        </is>
      </c>
      <c r="E86" s="11" t="inlineStr">
        <is>
          <t>202783634042</t>
        </is>
      </c>
      <c r="F86" s="11" t="n"/>
      <c r="G86" s="11" t="inlineStr">
        <is>
          <t>IONOS</t>
        </is>
      </c>
      <c r="H86" s="11" t="inlineStr">
        <is>
          <t>2025-07-25</t>
        </is>
      </c>
      <c r="I86" s="11" t="inlineStr">
        <is>
          <t>2025-07-25</t>
        </is>
      </c>
      <c r="J86" s="11" t="n">
        <v>14</v>
      </c>
      <c r="K86">
        <f>SUM(J86:J100)</f>
        <v/>
      </c>
      <c r="L86" t="n">
        <v>1716.71</v>
      </c>
      <c r="M86">
        <f>L86-K86</f>
        <v/>
      </c>
    </row>
    <row r="87" ht="14.45" customHeight="1">
      <c r="A87" s="127" t="n"/>
      <c r="D87" s="47" t="inlineStr">
        <is>
          <t>Servidor</t>
        </is>
      </c>
      <c r="E87" s="11" t="inlineStr">
        <is>
          <t>202783913737</t>
        </is>
      </c>
      <c r="F87" s="11" t="n"/>
      <c r="G87" s="11" t="inlineStr">
        <is>
          <t>IONOS</t>
        </is>
      </c>
      <c r="H87" s="11" t="inlineStr">
        <is>
          <t>2025-08-25</t>
        </is>
      </c>
      <c r="I87" s="11" t="inlineStr">
        <is>
          <t>2025-08-25</t>
        </is>
      </c>
      <c r="J87" s="11" t="n">
        <v>14</v>
      </c>
    </row>
    <row r="88" ht="6" customHeight="1">
      <c r="A88" s="127" t="n"/>
      <c r="D88" s="47" t="inlineStr">
        <is>
          <t>Mantenimiento (1r Semestre 2025)</t>
        </is>
      </c>
      <c r="E88" s="11" t="inlineStr">
        <is>
          <t>14/2025</t>
        </is>
      </c>
      <c r="F88" s="11" t="n"/>
      <c r="G88" s="11" t="inlineStr">
        <is>
          <t>XAVIER-CADÍ TUSET PRAT</t>
        </is>
      </c>
      <c r="H88" s="11" t="inlineStr">
        <is>
          <t>2025-07-01</t>
        </is>
      </c>
      <c r="I88" s="11" t="inlineStr"/>
      <c r="J88" s="11" t="n">
        <v>480</v>
      </c>
    </row>
    <row r="89" ht="14.1" customHeight="1">
      <c r="A89" s="127" t="n"/>
      <c r="D89" s="47" t="inlineStr">
        <is>
          <t>Servidor</t>
        </is>
      </c>
      <c r="E89" s="11" t="inlineStr">
        <is>
          <t>202784197236</t>
        </is>
      </c>
      <c r="F89" s="11" t="n"/>
      <c r="G89" s="11" t="inlineStr">
        <is>
          <t>IONOS</t>
        </is>
      </c>
      <c r="H89" s="11" t="inlineStr">
        <is>
          <t>2025-09-25</t>
        </is>
      </c>
      <c r="I89" s="11" t="inlineStr">
        <is>
          <t>2025-09-25</t>
        </is>
      </c>
      <c r="J89" s="11" t="n">
        <v>14</v>
      </c>
    </row>
    <row r="90" ht="14.45" customHeight="1">
      <c r="A90" s="127" t="n"/>
      <c r="D90" s="47" t="inlineStr">
        <is>
          <t>Servidor</t>
        </is>
      </c>
      <c r="E90" s="11" t="inlineStr">
        <is>
          <t>202784490445</t>
        </is>
      </c>
      <c r="F90" s="11" t="n"/>
      <c r="G90" s="11" t="inlineStr">
        <is>
          <t>IONOS</t>
        </is>
      </c>
      <c r="H90" s="11" t="inlineStr">
        <is>
          <t>2025-10-25</t>
        </is>
      </c>
      <c r="I90" s="11" t="inlineStr">
        <is>
          <t>2025-10-25</t>
        </is>
      </c>
      <c r="J90" s="11" t="n">
        <v>17.83</v>
      </c>
    </row>
    <row r="91" ht="14.45" customHeight="1">
      <c r="A91" s="127" t="n"/>
      <c r="D91" s="47" t="inlineStr">
        <is>
          <t>Servidor</t>
        </is>
      </c>
      <c r="E91" s="11" t="inlineStr">
        <is>
          <t>202784784857</t>
        </is>
      </c>
      <c r="F91" s="11" t="n"/>
      <c r="G91" s="11" t="inlineStr">
        <is>
          <t>IONOS Cloud S.L.U.</t>
        </is>
      </c>
      <c r="H91" s="11" t="inlineStr">
        <is>
          <t>2025-11-25</t>
        </is>
      </c>
      <c r="I91" s="11" t="inlineStr"/>
      <c r="J91" s="11" t="n">
        <v>19</v>
      </c>
    </row>
    <row r="92" ht="14.45" customHeight="1">
      <c r="A92" s="127" t="n"/>
      <c r="D92" s="47" t="inlineStr">
        <is>
          <t>Servidor</t>
        </is>
      </c>
      <c r="E92" s="11" t="inlineStr">
        <is>
          <t>202785076764</t>
        </is>
      </c>
      <c r="F92" s="11" t="n"/>
      <c r="G92" s="11" t="inlineStr">
        <is>
          <t>IONOS Cloud S.L.U.</t>
        </is>
      </c>
      <c r="H92" s="11" t="inlineStr">
        <is>
          <t>2025-12-25</t>
        </is>
      </c>
      <c r="I92" s="11" t="inlineStr"/>
      <c r="J92" s="11" t="n">
        <v>19</v>
      </c>
    </row>
    <row r="93">
      <c r="A93" s="127" t="n"/>
      <c r="D93" s="47" t="inlineStr">
        <is>
          <t>Mantenimiento técnico plataforma enGira!</t>
        </is>
      </c>
      <c r="E93" s="11" t="inlineStr">
        <is>
          <t>23/2025</t>
        </is>
      </c>
      <c r="F93" s="11" t="n"/>
      <c r="G93" s="11" t="inlineStr">
        <is>
          <t>Xavier-Cadí tuset PRAT</t>
        </is>
      </c>
      <c r="H93" s="11" t="inlineStr">
        <is>
          <t>2025-12-18</t>
        </is>
      </c>
      <c r="I93" s="11" t="inlineStr"/>
      <c r="J93" s="11" t="n">
        <v>480</v>
      </c>
    </row>
    <row r="94">
      <c r="A94" s="127" t="n"/>
      <c r="D94" s="47" t="inlineStr">
        <is>
          <t>Servidor</t>
        </is>
      </c>
      <c r="E94" s="11" t="inlineStr">
        <is>
          <t>202785955106</t>
        </is>
      </c>
      <c r="F94" s="11" t="n"/>
      <c r="G94" s="11" t="inlineStr">
        <is>
          <t>IONOS Cloud S.L.U.</t>
        </is>
      </c>
      <c r="H94" s="11" t="inlineStr">
        <is>
          <t>2026-03-25</t>
        </is>
      </c>
      <c r="I94" s="11" t="inlineStr"/>
      <c r="J94" s="11" t="n">
        <v>19</v>
      </c>
    </row>
    <row r="95">
      <c r="A95" s="127" t="n"/>
      <c r="D95" s="47" t="inlineStr">
        <is>
          <t>Servidor</t>
        </is>
      </c>
      <c r="E95" s="11" t="inlineStr">
        <is>
          <t>202785665358</t>
        </is>
      </c>
      <c r="F95" s="11" t="n"/>
      <c r="G95" s="11" t="inlineStr">
        <is>
          <t>IONOS Cloud S.L.U.</t>
        </is>
      </c>
      <c r="H95" s="11" t="inlineStr">
        <is>
          <t>2026-02-25</t>
        </is>
      </c>
      <c r="I95" s="11" t="inlineStr"/>
      <c r="J95" s="11" t="n">
        <v>19</v>
      </c>
    </row>
    <row r="96">
      <c r="A96" s="127" t="n"/>
      <c r="D96" s="47" t="inlineStr">
        <is>
          <t>Servidor</t>
        </is>
      </c>
      <c r="E96" s="11" t="inlineStr">
        <is>
          <t>202785368394</t>
        </is>
      </c>
      <c r="F96" s="11" t="n"/>
      <c r="G96" s="11" t="inlineStr">
        <is>
          <t>IONOS Cloud S.L.U.</t>
        </is>
      </c>
      <c r="H96" s="11" t="inlineStr">
        <is>
          <t>2026-01-25</t>
        </is>
      </c>
      <c r="I96" s="11" t="inlineStr"/>
      <c r="J96" s="11" t="n">
        <v>19</v>
      </c>
    </row>
    <row r="97" ht="24" customHeight="1">
      <c r="A97" s="127" t="n"/>
      <c r="D97" s="47" t="inlineStr">
        <is>
          <t>MONITOR PORTATIL</t>
        </is>
      </c>
      <c r="E97" s="11" t="inlineStr">
        <is>
          <t>ES63OZGAAEUD</t>
        </is>
      </c>
      <c r="F97" s="11" t="n"/>
      <c r="G97" s="11" t="inlineStr">
        <is>
          <t>Amazon EU S.a.r.L.</t>
        </is>
      </c>
      <c r="H97" s="11" t="inlineStr">
        <is>
          <t>2026-01-14</t>
        </is>
      </c>
      <c r="I97" s="11" t="inlineStr"/>
      <c r="J97" s="11" t="n">
        <v>63.94</v>
      </c>
    </row>
    <row r="98">
      <c r="A98" s="127" t="n"/>
      <c r="D98" s="47" t="inlineStr">
        <is>
          <t>SERVIDOR</t>
        </is>
      </c>
      <c r="E98" s="11" t="inlineStr">
        <is>
          <t>202786711054</t>
        </is>
      </c>
      <c r="F98" s="11" t="n"/>
      <c r="G98" s="11" t="inlineStr">
        <is>
          <t>IONOS Cloud S.L.U.</t>
        </is>
      </c>
      <c r="H98" s="11" t="inlineStr">
        <is>
          <t>2026-06-25</t>
        </is>
      </c>
      <c r="I98" s="11" t="inlineStr"/>
      <c r="J98" s="11" t="n">
        <v>19</v>
      </c>
    </row>
    <row r="99">
      <c r="A99" s="127" t="n"/>
      <c r="D99" s="47" t="inlineStr">
        <is>
          <t>SERVIDOR</t>
        </is>
      </c>
      <c r="E99" s="11" t="inlineStr">
        <is>
          <t>202786492020</t>
        </is>
      </c>
      <c r="F99" s="11" t="n"/>
      <c r="G99" s="11" t="inlineStr">
        <is>
          <t>IONOS Cloud S.L.U.</t>
        </is>
      </c>
      <c r="H99" s="11" t="inlineStr">
        <is>
          <t>2026-05-25</t>
        </is>
      </c>
      <c r="I99" s="11" t="inlineStr"/>
      <c r="J99" s="11" t="n">
        <v>19</v>
      </c>
    </row>
    <row r="100" ht="18.6" customHeight="1">
      <c r="A100" s="127" t="n"/>
      <c r="D100" s="47" t="inlineStr">
        <is>
          <t>SERVIDOR</t>
        </is>
      </c>
      <c r="E100" s="11" t="inlineStr">
        <is>
          <t>202786241049</t>
        </is>
      </c>
      <c r="F100" s="11" t="n"/>
      <c r="G100" s="11" t="inlineStr">
        <is>
          <t>IONOS Cloud S.L.U.</t>
        </is>
      </c>
      <c r="H100" s="11" t="inlineStr">
        <is>
          <t>2026-04-25</t>
        </is>
      </c>
      <c r="I100" s="11" t="inlineStr"/>
      <c r="J100" s="11" t="n">
        <v>19</v>
      </c>
    </row>
    <row r="101">
      <c r="A101" s="130" t="n"/>
      <c r="B101" s="61" t="inlineStr">
        <is>
          <t>TOTAL DE GASTOS POR ADQUISICIÓN DE BIENES O PRESTACIÓN DE SERVICIOS</t>
        </is>
      </c>
      <c r="C101" s="118" t="n"/>
      <c r="D101" s="118" t="n"/>
      <c r="E101" s="118" t="n"/>
      <c r="F101" s="118" t="n"/>
      <c r="G101" s="118" t="n"/>
      <c r="H101" s="118" t="n"/>
      <c r="I101" s="119" t="n"/>
      <c r="J101" s="48">
        <f>SUM(J47:J100)</f>
        <v/>
      </c>
      <c r="K101" s="48">
        <f>SUM(J47:J100)</f>
        <v/>
      </c>
      <c r="L101" s="11" t="n"/>
      <c r="M101" s="11" t="n"/>
    </row>
    <row r="102">
      <c r="A102" s="135" t="inlineStr">
        <is>
          <t>TOTAL DE GASTOS</t>
        </is>
      </c>
      <c r="B102" s="118" t="n"/>
      <c r="C102" s="118" t="n"/>
      <c r="D102" s="118" t="n"/>
      <c r="E102" s="118" t="n"/>
      <c r="F102" s="118" t="n"/>
      <c r="G102" s="118" t="n"/>
      <c r="H102" s="118" t="n"/>
      <c r="I102" s="119" t="n"/>
      <c r="J102" s="28">
        <f>J101+J45+J39+J30</f>
        <v/>
      </c>
      <c r="K102" s="22" t="n"/>
      <c r="L102" s="23" t="n"/>
      <c r="M102" s="23" t="n"/>
    </row>
    <row r="103">
      <c r="A103" s="30" t="n"/>
      <c r="B103" s="31" t="n"/>
      <c r="C103" s="31" t="n"/>
      <c r="D103" s="31" t="n"/>
      <c r="E103" s="31" t="n"/>
      <c r="F103" s="31" t="n"/>
      <c r="G103" s="31" t="n"/>
      <c r="H103" s="31" t="n"/>
      <c r="I103" s="31" t="n"/>
      <c r="J103" s="22" t="n"/>
      <c r="K103" s="29" t="n"/>
    </row>
    <row r="104">
      <c r="A104" s="65" t="inlineStr">
        <is>
          <t>2. OTROS GASTOS DEL PROYECTO (financiados con aportaciones propias y aportaciones de terceros ajenas al Ministerio de Cultura)</t>
        </is>
      </c>
      <c r="B104" s="6" t="n"/>
      <c r="C104" s="6" t="n"/>
      <c r="D104" s="6" t="n"/>
      <c r="E104" s="6" t="n"/>
      <c r="F104" s="6" t="n"/>
      <c r="G104" s="6" t="n"/>
      <c r="H104" s="6" t="n"/>
      <c r="I104" s="6" t="n"/>
      <c r="J104" s="6" t="n"/>
      <c r="K104" s="6" t="n"/>
      <c r="L104" s="6" t="n"/>
      <c r="M104" s="6" t="n"/>
    </row>
    <row r="105">
      <c r="A105" s="27" t="n"/>
      <c r="B105" s="24" t="n"/>
      <c r="C105" s="24" t="n"/>
      <c r="D105" s="24" t="n"/>
      <c r="E105" s="24" t="n"/>
      <c r="F105" s="24" t="n"/>
      <c r="G105" s="24" t="n"/>
      <c r="H105" s="24" t="n"/>
      <c r="I105" s="24" t="n"/>
      <c r="J105" s="25" t="n"/>
      <c r="K105" s="25" t="n"/>
      <c r="L105" s="26" t="n"/>
      <c r="M105" s="26" t="n"/>
    </row>
    <row r="106">
      <c r="A106" s="46" t="inlineStr">
        <is>
          <t xml:space="preserve">Gastos de personal: nóminas de trabajadores  financiadas con ingresos distintos a la ayuda concedida  </t>
        </is>
      </c>
      <c r="B106" s="46" t="inlineStr">
        <is>
          <t>Denominación de la partida
  (coincidente con la del Presupuesto Aprobado)</t>
        </is>
      </c>
      <c r="C106" s="126" t="n"/>
      <c r="D106" s="46" t="inlineStr">
        <is>
          <t>Desglosar conceptos de gasto (corresponderán a actuaciones descritas en la memoria del proyecto)</t>
        </is>
      </c>
      <c r="E106" s="46" t="inlineStr">
        <is>
          <t>Nº</t>
        </is>
      </c>
      <c r="F106" s="46" t="inlineStr">
        <is>
          <t>JUSTIFICANTES DE GASTO</t>
        </is>
      </c>
      <c r="G106" s="119" t="n"/>
      <c r="H106" s="46" t="inlineStr">
        <is>
          <t>FECHA DE EMISIÓN</t>
        </is>
      </c>
      <c r="I106" s="46" t="inlineStr">
        <is>
          <t>FECHA DE PAGO</t>
        </is>
      </c>
      <c r="J106" s="60" t="inlineStr">
        <is>
          <t>IMPORTE EJECUTADO POR CONCEPTO (€)</t>
        </is>
      </c>
      <c r="K106" s="46" t="inlineStr">
        <is>
          <t>IMPORTE EJECUTADO, POR PARTIDA  (€)</t>
        </is>
      </c>
      <c r="L106" s="46" t="inlineStr">
        <is>
          <t>IMPORTE PRESUPUESTADO EN LA SOLICITUD O MODIFICACIÓN APROBADA, POR PARTIDA (€)</t>
        </is>
      </c>
      <c r="M106" s="46" t="inlineStr">
        <is>
          <t>DESVIOS (€)</t>
        </is>
      </c>
    </row>
    <row r="107">
      <c r="A107" s="127" t="n"/>
      <c r="B107" s="128" t="n"/>
      <c r="C107" s="129" t="n"/>
      <c r="D107" s="130" t="n"/>
      <c r="E107" s="46" t="inlineStr">
        <is>
          <t>Mes y año de la nómina</t>
        </is>
      </c>
      <c r="F107" s="119" t="n"/>
      <c r="G107" s="46" t="inlineStr">
        <is>
          <t>Nombre y apellidos del perceptor</t>
        </is>
      </c>
      <c r="H107" s="130" t="n"/>
      <c r="I107" s="130" t="n"/>
      <c r="J107" s="130" t="n"/>
      <c r="K107" s="130" t="n"/>
      <c r="L107" s="130" t="n"/>
      <c r="M107" s="130" t="n"/>
    </row>
    <row r="108">
      <c r="A108" s="127" t="n"/>
      <c r="B108" s="47" t="n"/>
      <c r="D108" s="47" t="n"/>
      <c r="E108" s="11" t="n"/>
      <c r="F108" s="11" t="n"/>
      <c r="G108" s="11" t="n"/>
      <c r="H108" s="11" t="n"/>
      <c r="I108" s="11" t="n"/>
      <c r="J108" s="11" t="n"/>
      <c r="K108" s="48" t="n"/>
      <c r="L108" s="49" t="n"/>
      <c r="M108" s="49" t="n"/>
    </row>
    <row r="109">
      <c r="A109" s="127" t="n"/>
      <c r="D109" s="47" t="n"/>
      <c r="E109" s="11" t="n"/>
      <c r="F109" s="11" t="n"/>
      <c r="G109" s="11" t="n"/>
      <c r="H109" s="11" t="n"/>
      <c r="I109" s="11" t="n"/>
      <c r="J109" s="11" t="n"/>
    </row>
    <row r="110">
      <c r="A110" s="127" t="n"/>
      <c r="B110" s="47" t="n"/>
      <c r="D110" s="47" t="n"/>
      <c r="E110" s="11" t="n"/>
      <c r="F110" s="11" t="n"/>
      <c r="G110" s="11" t="n"/>
      <c r="H110" s="11" t="n"/>
      <c r="I110" s="11" t="n"/>
      <c r="J110" s="11" t="n"/>
      <c r="K110" s="48" t="n"/>
      <c r="L110" s="49" t="n"/>
      <c r="M110" s="49" t="n"/>
    </row>
    <row r="111">
      <c r="A111" s="127" t="n"/>
      <c r="D111" s="47" t="n"/>
      <c r="E111" s="11" t="n"/>
      <c r="F111" s="11" t="n"/>
      <c r="G111" s="11" t="n"/>
      <c r="H111" s="11" t="n"/>
      <c r="I111" s="11" t="n"/>
      <c r="J111" s="11" t="n"/>
    </row>
    <row r="112">
      <c r="A112" s="130" t="n"/>
      <c r="B112" s="61" t="inlineStr">
        <is>
          <t>TOTAL DE NÓMINAS DE TRABAJADORES NO FINANCIADAS CON LA AYUDA</t>
        </is>
      </c>
      <c r="C112" s="118" t="n"/>
      <c r="D112" s="118" t="n"/>
      <c r="E112" s="118" t="n"/>
      <c r="F112" s="118" t="n"/>
      <c r="G112" s="118" t="n"/>
      <c r="H112" s="118" t="n"/>
      <c r="I112" s="119" t="n"/>
      <c r="J112" s="48" t="n">
        <v>0</v>
      </c>
      <c r="K112" s="48" t="n">
        <v>0</v>
      </c>
      <c r="L112" s="11" t="n"/>
      <c r="M112" s="11" t="n"/>
    </row>
    <row r="113">
      <c r="A113" s="46" t="inlineStr">
        <is>
          <t>Gastos de los trabajos realizados por el autónomo</t>
        </is>
      </c>
      <c r="B113" s="46" t="inlineStr">
        <is>
          <t>Denominación de la partida
  (coincidente con la del Presupuesto Aprobado)</t>
        </is>
      </c>
      <c r="C113" s="126" t="n"/>
      <c r="D113" s="46" t="inlineStr">
        <is>
          <t>Desglosar conceptos de gasto (corresponderán a actuaciones descritas en la memoria del proyecto)</t>
        </is>
      </c>
      <c r="E113" s="46" t="inlineStr">
        <is>
          <t>Mes y año de la nómina</t>
        </is>
      </c>
      <c r="F113" s="126" t="n"/>
      <c r="G113" s="46" t="inlineStr">
        <is>
          <t>Nombre y apellidos del perceptor</t>
        </is>
      </c>
      <c r="H113" s="46" t="inlineStr">
        <is>
          <t>FECHA DE EMISIÓN</t>
        </is>
      </c>
      <c r="I113" s="46" t="inlineStr">
        <is>
          <t>FECHA DE PAGO</t>
        </is>
      </c>
      <c r="J113" s="60" t="inlineStr">
        <is>
          <t>IMPORTE EJECUTADO POR CONCEPTO (€)</t>
        </is>
      </c>
      <c r="K113" s="46" t="inlineStr">
        <is>
          <t>IMPORTE EJECUTADO, POR PARTIDA  (€)</t>
        </is>
      </c>
      <c r="L113" s="46" t="inlineStr">
        <is>
          <t>IMPORTE PRESUPUESTADO EN LA SOLICITUD O MODIFICACIÓN APROBADA, POR PARTIDA (€)</t>
        </is>
      </c>
      <c r="M113" s="46" t="inlineStr">
        <is>
          <t>DESVIOS (€)</t>
        </is>
      </c>
    </row>
    <row r="114">
      <c r="A114" s="127" t="n"/>
      <c r="B114" s="128" t="n"/>
      <c r="C114" s="129" t="n"/>
      <c r="D114" s="130" t="n"/>
      <c r="E114" s="128" t="n"/>
      <c r="F114" s="129" t="n"/>
      <c r="G114" s="130" t="n"/>
      <c r="H114" s="130" t="n"/>
      <c r="I114" s="130" t="n"/>
      <c r="J114" s="130" t="n"/>
      <c r="K114" s="130" t="n"/>
      <c r="L114" s="130" t="n"/>
      <c r="M114" s="130" t="n"/>
    </row>
    <row r="115">
      <c r="A115" s="127" t="n"/>
      <c r="B115" s="47" t="inlineStr">
        <is>
          <t>ALIANZAS ESTRATEGICAS</t>
        </is>
      </c>
      <c r="D115" s="47" t="inlineStr">
        <is>
          <t>ALIANZAS ESTRATEGICAS</t>
        </is>
      </c>
      <c r="E115" s="11" t="inlineStr"/>
      <c r="F115" s="11" t="n"/>
      <c r="G115" s="11" t="inlineStr">
        <is>
          <t>María José Moral Morgado</t>
        </is>
      </c>
      <c r="H115" s="11" t="inlineStr"/>
      <c r="I115" s="11" t="inlineStr"/>
      <c r="J115" s="11" t="n">
        <v>1000</v>
      </c>
      <c r="K115" s="48">
        <f>SUM(J115:J115)</f>
        <v/>
      </c>
      <c r="L115" s="49" t="n">
        <v>1315.09</v>
      </c>
      <c r="M115" s="49">
        <f>L115-K115</f>
        <v/>
      </c>
    </row>
    <row r="116">
      <c r="A116" s="127" t="n"/>
      <c r="B116" t="inlineStr">
        <is>
          <t>RESPONSABLE OPERACIONES</t>
        </is>
      </c>
      <c r="D116" s="47" t="inlineStr">
        <is>
          <t>RESPONSABLE OPERACIONES</t>
        </is>
      </c>
      <c r="E116" s="11" t="inlineStr"/>
      <c r="F116" s="11" t="n"/>
      <c r="G116" s="11" t="inlineStr">
        <is>
          <t>María José Moral Morgado</t>
        </is>
      </c>
      <c r="H116" s="11" t="inlineStr"/>
      <c r="I116" s="11" t="inlineStr"/>
      <c r="J116" s="11" t="n">
        <v>2200</v>
      </c>
      <c r="K116">
        <f>SUM(J116:J116)</f>
        <v/>
      </c>
      <c r="L116" t="n">
        <v>2200</v>
      </c>
      <c r="M116">
        <f>L116-K116</f>
        <v/>
      </c>
    </row>
    <row r="117">
      <c r="A117" s="127" t="n"/>
      <c r="B117" s="47" t="n"/>
      <c r="D117" s="47" t="n"/>
      <c r="E117" s="11" t="n"/>
      <c r="F117" s="11" t="n"/>
      <c r="G117" s="11" t="n"/>
      <c r="H117" s="11" t="n"/>
      <c r="I117" s="11" t="n"/>
      <c r="J117" s="11" t="n"/>
      <c r="K117" s="48" t="n"/>
      <c r="L117" s="49" t="n"/>
      <c r="M117" s="49" t="n"/>
    </row>
    <row r="118">
      <c r="A118" s="127" t="n"/>
      <c r="D118" s="47" t="n"/>
      <c r="E118" s="11" t="n"/>
      <c r="F118" s="11" t="n"/>
      <c r="G118" s="11" t="n"/>
      <c r="H118" s="11" t="n"/>
      <c r="I118" s="11" t="n"/>
      <c r="J118" s="11" t="n"/>
    </row>
    <row r="119">
      <c r="A119" s="130" t="n"/>
      <c r="B119" s="61" t="inlineStr">
        <is>
          <t>TOTAL DE TRABAJOS REALIZADOS POR EL AUTÓNOMO NO FINANCIADOS CON LA AYUDA</t>
        </is>
      </c>
      <c r="C119" s="118" t="n"/>
      <c r="D119" s="118" t="n"/>
      <c r="E119" s="118" t="n"/>
      <c r="F119" s="118" t="n"/>
      <c r="G119" s="118" t="n"/>
      <c r="H119" s="118" t="n"/>
      <c r="I119" s="119" t="n"/>
      <c r="J119" s="48">
        <f>SUM(J115:J116)</f>
        <v/>
      </c>
      <c r="K119" s="48">
        <f>SUM(J115:J116)</f>
        <v/>
      </c>
      <c r="L119" s="11" t="n"/>
      <c r="M119" s="11" t="n"/>
    </row>
    <row r="120">
      <c r="A120" s="53" t="inlineStr">
        <is>
          <t>Gastos de proveedores externos: facturas de adquisición
de bienes
o prestación
de servicios</t>
        </is>
      </c>
      <c r="B120" s="58" t="inlineStr">
        <is>
          <t>Denominación de la partida
  (coincidente con la del Presupuesto Aprobado)</t>
        </is>
      </c>
      <c r="C120" s="119" t="n"/>
      <c r="D120" s="46" t="inlineStr">
        <is>
          <t>Desglosar conceptos de gasto (corresponderán a actuaciones descritas en la memoria del proyecto)</t>
        </is>
      </c>
      <c r="E120" s="46" t="inlineStr">
        <is>
          <t>Nº de la factura</t>
        </is>
      </c>
      <c r="F120" s="119" t="n"/>
      <c r="G120" s="46" t="inlineStr">
        <is>
          <t>Emisor</t>
        </is>
      </c>
      <c r="H120" s="46" t="inlineStr">
        <is>
          <t>FECHA DE EMISIÓN</t>
        </is>
      </c>
      <c r="I120" s="46" t="inlineStr">
        <is>
          <t>FECHA DE PAGO</t>
        </is>
      </c>
      <c r="J120" s="14" t="inlineStr">
        <is>
          <t>IMPORTE EJECUTADO POR CONCEPTO (€)</t>
        </is>
      </c>
      <c r="K120" s="46" t="inlineStr">
        <is>
          <t>IMPORTE EJECUTADO, POR PARTIDA (€)</t>
        </is>
      </c>
      <c r="L120" s="46" t="inlineStr">
        <is>
          <t>IMPORTE PRESUPUESTADO EN LA SOLICITUD O MODIFICACIÓN APROBADA, POR PARTIDA (€)</t>
        </is>
      </c>
      <c r="M120" s="46" t="inlineStr">
        <is>
          <t>DESVIOS (€)</t>
        </is>
      </c>
    </row>
    <row r="121">
      <c r="A121" s="132" t="n"/>
      <c r="B121" s="47" t="inlineStr">
        <is>
          <t>ALIANZAS ESTRATEGICAS</t>
        </is>
      </c>
      <c r="C121" s="126" t="n"/>
      <c r="D121" s="18" t="inlineStr">
        <is>
          <t>Alojamiento TA</t>
        </is>
      </c>
      <c r="E121" s="11" t="inlineStr">
        <is>
          <t>2504602</t>
        </is>
      </c>
      <c r="F121" s="11" t="n"/>
      <c r="G121" s="11" t="inlineStr">
        <is>
          <t>HOTEL RESIDENCIA CONDAL, SL</t>
        </is>
      </c>
      <c r="H121" s="11" t="inlineStr">
        <is>
          <t>2025-11-23</t>
        </is>
      </c>
      <c r="I121" s="11" t="inlineStr"/>
      <c r="J121" s="17" t="n">
        <v>79.95</v>
      </c>
      <c r="K121" s="48">
        <f>SUM(J121:J126)</f>
        <v/>
      </c>
      <c r="L121" s="49" t="n">
        <v>1315.09</v>
      </c>
      <c r="M121" s="49">
        <f>L121-K121</f>
        <v/>
      </c>
    </row>
    <row r="122">
      <c r="A122" s="132" t="n"/>
      <c r="B122" s="131" t="n"/>
      <c r="C122" s="132" t="n"/>
      <c r="D122" s="47" t="inlineStr">
        <is>
          <t>Viaje TA</t>
        </is>
      </c>
      <c r="E122" s="11" t="inlineStr">
        <is>
          <t>VJ00000016527930</t>
        </is>
      </c>
      <c r="F122" s="11" t="n"/>
      <c r="G122" s="11" t="inlineStr">
        <is>
          <t>Renfe Viajeros S.M.E.</t>
        </is>
      </c>
      <c r="H122" s="11" t="inlineStr">
        <is>
          <t>2025-11-03</t>
        </is>
      </c>
      <c r="I122" s="11" t="inlineStr"/>
      <c r="J122" s="11" t="n">
        <v>79.41</v>
      </c>
      <c r="K122" s="127" t="n"/>
      <c r="L122" s="127" t="n"/>
      <c r="M122" s="127" t="n"/>
    </row>
    <row r="123">
      <c r="A123" s="132" t="n"/>
      <c r="B123" s="131" t="n"/>
      <c r="C123" s="132" t="n"/>
      <c r="D123" s="47" t="inlineStr">
        <is>
          <t>Viaje TA</t>
        </is>
      </c>
      <c r="E123" s="11" t="inlineStr">
        <is>
          <t>VJ00000016527931</t>
        </is>
      </c>
      <c r="F123" s="11" t="n"/>
      <c r="G123" s="11" t="inlineStr">
        <is>
          <t>Renfe Viajeros S.M.E.</t>
        </is>
      </c>
      <c r="H123" s="11" t="inlineStr">
        <is>
          <t>2025-11-03</t>
        </is>
      </c>
      <c r="I123" s="11" t="inlineStr"/>
      <c r="J123" s="11" t="n">
        <v>94</v>
      </c>
      <c r="K123" s="127" t="n"/>
      <c r="L123" s="127" t="n"/>
      <c r="M123" s="127" t="n"/>
    </row>
    <row r="124">
      <c r="A124" s="132" t="n"/>
      <c r="B124" s="131" t="n"/>
      <c r="C124" s="132" t="n"/>
      <c r="D124" s="47" t="inlineStr">
        <is>
          <t>TA</t>
        </is>
      </c>
      <c r="E124" s="11" t="inlineStr">
        <is>
          <t>2025/0054</t>
        </is>
      </c>
      <c r="F124" s="11" t="n"/>
      <c r="G124" s="11" t="inlineStr">
        <is>
          <t>Bito Produccions S.L.</t>
        </is>
      </c>
      <c r="H124" s="11" t="inlineStr">
        <is>
          <t>2025-11-04</t>
        </is>
      </c>
      <c r="I124" s="11" t="inlineStr"/>
      <c r="J124" s="11" t="n">
        <v>20</v>
      </c>
      <c r="K124" s="127" t="n"/>
      <c r="L124" s="127" t="n"/>
      <c r="M124" s="127" t="n"/>
    </row>
    <row r="125">
      <c r="A125" s="132" t="n"/>
      <c r="B125" s="131" t="n"/>
      <c r="C125" s="132" t="n"/>
      <c r="D125" s="57" t="inlineStr">
        <is>
          <t>TA</t>
        </is>
      </c>
      <c r="E125" s="11" t="inlineStr">
        <is>
          <t>2025-055</t>
        </is>
      </c>
      <c r="F125" s="57" t="n"/>
      <c r="G125" s="57" t="inlineStr">
        <is>
          <t>Bito Produccions S.L.</t>
        </is>
      </c>
      <c r="H125" s="57" t="inlineStr">
        <is>
          <t>2025-11-04</t>
        </is>
      </c>
      <c r="I125" s="57" t="inlineStr"/>
      <c r="J125" s="11" t="n">
        <v>8.18</v>
      </c>
      <c r="K125" s="127" t="n"/>
      <c r="L125" s="127" t="n"/>
      <c r="M125" s="127" t="n"/>
    </row>
    <row r="126">
      <c r="A126" s="132" t="n"/>
      <c r="B126" s="128" t="n"/>
      <c r="C126" s="129" t="n"/>
      <c r="D126" s="11" t="inlineStr">
        <is>
          <t>alquiler coche reunión</t>
        </is>
      </c>
      <c r="E126" s="11" t="inlineStr">
        <is>
          <t>3291000012688128</t>
        </is>
      </c>
      <c r="F126" s="11" t="n"/>
      <c r="G126" s="11" t="inlineStr">
        <is>
          <t>Free2Move Iberisa S.A.U</t>
        </is>
      </c>
      <c r="H126" s="11" t="inlineStr">
        <is>
          <t>2025-12-19</t>
        </is>
      </c>
      <c r="I126" s="11" t="inlineStr"/>
      <c r="J126" s="11" t="n">
        <v>33.55</v>
      </c>
      <c r="K126" s="130" t="n"/>
      <c r="L126" s="130" t="n"/>
      <c r="M126" s="130" t="n"/>
    </row>
    <row r="127">
      <c r="A127" s="132" t="n"/>
      <c r="B127" t="inlineStr">
        <is>
          <t>INVESTIGACION</t>
        </is>
      </c>
      <c r="D127" s="11" t="inlineStr">
        <is>
          <t>IG AUDIENCE DATA ANALYTICS PARA CAMPAÑA ADE MRAKETING</t>
        </is>
      </c>
      <c r="E127" s="11" t="n">
        <v>7</v>
      </c>
      <c r="F127" s="11" t="n"/>
      <c r="G127" s="11" t="inlineStr">
        <is>
          <t>A.C. ZEENA PRODUCCIONES TEATRALES</t>
        </is>
      </c>
      <c r="H127" s="11" t="inlineStr">
        <is>
          <t>2026-02-10</t>
        </is>
      </c>
      <c r="I127" s="11" t="inlineStr"/>
      <c r="J127" s="11" t="n">
        <v>2000</v>
      </c>
      <c r="K127">
        <f>SUM(J127:J128)</f>
        <v/>
      </c>
      <c r="L127" t="n">
        <v>3800</v>
      </c>
      <c r="M127">
        <f>L127-K127</f>
        <v/>
      </c>
    </row>
    <row r="128">
      <c r="A128" s="132" t="n"/>
      <c r="D128" s="11" t="inlineStr">
        <is>
          <t>IG AUDIENCE DATA ANALYTICS PARA CAMPAÑA ADE MRAKETING</t>
        </is>
      </c>
      <c r="E128" s="11" t="n">
        <v>8</v>
      </c>
      <c r="F128" s="11" t="n"/>
      <c r="G128" s="11" t="inlineStr">
        <is>
          <t>A.C. ZEENA PRODUCCIONES TEATRALES</t>
        </is>
      </c>
      <c r="H128" s="11" t="inlineStr"/>
      <c r="I128" s="11" t="inlineStr"/>
      <c r="J128" s="11" t="n">
        <v>1800</v>
      </c>
    </row>
    <row r="129">
      <c r="A129" s="132" t="n"/>
      <c r="B129" s="61" t="inlineStr">
        <is>
          <t>TOTAL DE GASTOS DE PROVEEDORES EXTERNOS NO FINANCIADOS CON LA AYUDA</t>
        </is>
      </c>
      <c r="C129" s="118" t="n"/>
      <c r="D129" s="118" t="n"/>
      <c r="E129" s="118" t="n"/>
      <c r="F129" s="118" t="n"/>
      <c r="G129" s="118" t="n"/>
      <c r="H129" s="118" t="n"/>
      <c r="I129" s="119" t="n"/>
      <c r="J129" s="48">
        <f>SUM(J121:J128)</f>
        <v/>
      </c>
      <c r="K129" s="48">
        <f>SUM(J121:J128)</f>
        <v/>
      </c>
      <c r="L129" s="11" t="n"/>
      <c r="M129" s="11" t="n"/>
    </row>
    <row r="130">
      <c r="A130" s="133" t="inlineStr">
        <is>
          <t>Gastos ordinarios,
de gestión
y administración (máximo 25%
de “Otros gastos
del proyecto”)</t>
        </is>
      </c>
      <c r="B130" s="58" t="inlineStr">
        <is>
          <t>Denominación de la partida
  (coincidente con la del Presupuesto Aprobado)</t>
        </is>
      </c>
      <c r="C130" s="119" t="n"/>
      <c r="D130" s="46" t="inlineStr">
        <is>
          <t>Desglosar conceptos de gasto (corresponderán a actuaciones descritas en la memoria del proyecto)</t>
        </is>
      </c>
      <c r="E130" s="46" t="inlineStr">
        <is>
          <t>Nº de la factura</t>
        </is>
      </c>
      <c r="F130" s="119" t="n"/>
      <c r="G130" s="46" t="inlineStr">
        <is>
          <t>Emisor</t>
        </is>
      </c>
      <c r="H130" s="46" t="inlineStr">
        <is>
          <t>FECHA DE EMISIÓN</t>
        </is>
      </c>
      <c r="I130" s="46" t="inlineStr">
        <is>
          <t>FECHA DE PAGO</t>
        </is>
      </c>
      <c r="J130" s="14" t="inlineStr">
        <is>
          <t>IMPORTE EJECUTADO POR CONCEPTO (€)</t>
        </is>
      </c>
      <c r="K130" s="46" t="inlineStr">
        <is>
          <t>IMPORTE EJECUTADO, POR PARTIDA(€)</t>
        </is>
      </c>
      <c r="L130" s="46" t="inlineStr">
        <is>
          <t>IMPORTE PRESUPUESTADO EN LA SOLICITUD O MODIFICACIÓN APROBADA, POR PARTIDA (€)</t>
        </is>
      </c>
      <c r="M130" s="46" t="inlineStr">
        <is>
          <t>DESVIOS (€)</t>
        </is>
      </c>
    </row>
    <row r="131">
      <c r="A131" s="123" t="n"/>
      <c r="B131" s="47" t="inlineStr">
        <is>
          <t>ADMINISTRACION</t>
        </is>
      </c>
      <c r="C131" s="126" t="n"/>
      <c r="D131" s="18" t="inlineStr">
        <is>
          <t>Teléfono</t>
        </is>
      </c>
      <c r="E131" s="11" t="inlineStr">
        <is>
          <t>FMPVAII004****</t>
        </is>
      </c>
      <c r="F131" s="11" t="n"/>
      <c r="G131" s="11" t="inlineStr">
        <is>
          <t>Teléfonica de España S.A.U.</t>
        </is>
      </c>
      <c r="H131" s="11" t="inlineStr">
        <is>
          <t>2025-09-25</t>
        </is>
      </c>
      <c r="I131" s="11" t="inlineStr">
        <is>
          <t>2025-09-25</t>
        </is>
      </c>
      <c r="J131" s="17" t="n">
        <v>58.0646</v>
      </c>
      <c r="K131" s="48">
        <f>SUM(J131:J148)</f>
        <v/>
      </c>
      <c r="L131" s="49" t="n">
        <v>870.91</v>
      </c>
      <c r="M131" s="49">
        <f>L131-K131</f>
        <v/>
      </c>
    </row>
    <row r="132">
      <c r="A132" s="123" t="n"/>
      <c r="B132" s="131" t="n"/>
      <c r="C132" s="132" t="n"/>
      <c r="D132" s="47" t="inlineStr">
        <is>
          <t>Teléfono</t>
        </is>
      </c>
      <c r="E132" s="11" t="inlineStr">
        <is>
          <t>MMPVAII001****</t>
        </is>
      </c>
      <c r="F132" s="11" t="n"/>
      <c r="G132" s="11" t="inlineStr">
        <is>
          <t>Teléfonica de España S.A.U.</t>
        </is>
      </c>
      <c r="H132" s="11" t="inlineStr">
        <is>
          <t>2025-09-25</t>
        </is>
      </c>
      <c r="I132" s="11" t="inlineStr">
        <is>
          <t>2025-09-25</t>
        </is>
      </c>
      <c r="J132" s="11" t="n">
        <v>6.9869</v>
      </c>
      <c r="K132" s="127" t="n"/>
      <c r="L132" s="127" t="n"/>
      <c r="M132" s="127" t="n"/>
    </row>
    <row r="133">
      <c r="A133" s="123" t="n"/>
      <c r="B133" s="131" t="n"/>
      <c r="C133" s="132" t="n"/>
      <c r="D133" s="47" t="inlineStr">
        <is>
          <t>Suministros</t>
        </is>
      </c>
      <c r="E133" s="11" t="inlineStr">
        <is>
          <t>FMPVAGI0013315</t>
        </is>
      </c>
      <c r="F133" s="11" t="n"/>
      <c r="G133" s="11" t="inlineStr">
        <is>
          <t>Teléfonica de España S.A.U.</t>
        </is>
      </c>
      <c r="H133" s="11" t="inlineStr">
        <is>
          <t>2025-07-25</t>
        </is>
      </c>
      <c r="I133" s="11" t="inlineStr">
        <is>
          <t>2025-07-25</t>
        </is>
      </c>
      <c r="J133" s="11" t="n">
        <v>58.2644</v>
      </c>
      <c r="K133" s="127" t="n"/>
      <c r="L133" s="127" t="n"/>
      <c r="M133" s="127" t="n"/>
    </row>
    <row r="134">
      <c r="A134" s="123" t="n"/>
      <c r="B134" s="131" t="n"/>
      <c r="C134" s="132" t="n"/>
      <c r="D134" s="47" t="inlineStr">
        <is>
          <t>Suministros</t>
        </is>
      </c>
      <c r="E134" s="11" t="inlineStr">
        <is>
          <t>FMPVAHI0010009</t>
        </is>
      </c>
      <c r="F134" s="11" t="n"/>
      <c r="G134" s="11" t="inlineStr">
        <is>
          <t>Teléfonica de España S.A.U.</t>
        </is>
      </c>
      <c r="H134" s="11" t="inlineStr">
        <is>
          <t>2025-08-25</t>
        </is>
      </c>
      <c r="I134" s="11" t="inlineStr">
        <is>
          <t>2025-08-25</t>
        </is>
      </c>
      <c r="J134" s="11" t="n">
        <v>58.8997</v>
      </c>
      <c r="K134" s="127" t="n"/>
      <c r="L134" s="127" t="n"/>
      <c r="M134" s="127" t="n"/>
    </row>
    <row r="135">
      <c r="A135" s="123" t="n"/>
      <c r="B135" s="131" t="n"/>
      <c r="C135" s="132" t="n"/>
      <c r="D135" s="47" t="inlineStr">
        <is>
          <t>Suministros</t>
        </is>
      </c>
      <c r="E135" s="11" t="inlineStr">
        <is>
          <t>MMPVAGI0016002</t>
        </is>
      </c>
      <c r="F135" s="11" t="n"/>
      <c r="G135" s="11" t="inlineStr">
        <is>
          <t>Teléfonica de España S.A.U.</t>
        </is>
      </c>
      <c r="H135" s="11" t="inlineStr">
        <is>
          <t>2025-07-25</t>
        </is>
      </c>
      <c r="I135" s="11" t="inlineStr">
        <is>
          <t>2025-07-25</t>
        </is>
      </c>
      <c r="J135" s="11" t="n">
        <v>6.6116</v>
      </c>
      <c r="K135" s="127" t="n"/>
      <c r="L135" s="127" t="n"/>
      <c r="M135" s="127" t="n"/>
    </row>
    <row r="136">
      <c r="A136" s="123" t="n"/>
      <c r="B136" s="131" t="n"/>
      <c r="C136" s="132" t="n"/>
      <c r="D136" s="47" t="inlineStr">
        <is>
          <t>Suministros</t>
        </is>
      </c>
      <c r="E136" s="11" t="inlineStr">
        <is>
          <t>MMPVAHI0004037</t>
        </is>
      </c>
      <c r="F136" s="11" t="n"/>
      <c r="G136" s="11" t="inlineStr">
        <is>
          <t>Teléfonica de España S.A.U.</t>
        </is>
      </c>
      <c r="H136" s="11" t="inlineStr">
        <is>
          <t>2025-08-25</t>
        </is>
      </c>
      <c r="I136" s="11" t="inlineStr">
        <is>
          <t>2025-08-25</t>
        </is>
      </c>
      <c r="J136" s="11" t="n">
        <v>6.6116</v>
      </c>
      <c r="K136" s="127" t="n"/>
      <c r="L136" s="127" t="n"/>
      <c r="M136" s="127" t="n"/>
    </row>
    <row r="137">
      <c r="A137" s="123" t="n"/>
      <c r="B137" s="131" t="n"/>
      <c r="C137" s="132" t="n"/>
      <c r="D137" s="47" t="inlineStr">
        <is>
          <t>Suministros</t>
        </is>
      </c>
      <c r="E137" s="11" t="inlineStr">
        <is>
          <t>FMPVAJI006****</t>
        </is>
      </c>
      <c r="F137" s="11" t="n"/>
      <c r="G137" s="11" t="inlineStr">
        <is>
          <t>Teléfonica de España S.A.U.</t>
        </is>
      </c>
      <c r="H137" s="11" t="inlineStr">
        <is>
          <t>2025-10-23</t>
        </is>
      </c>
      <c r="I137" s="11" t="inlineStr">
        <is>
          <t>2025-10-23</t>
        </is>
      </c>
      <c r="J137" s="11" t="n">
        <v>144.82</v>
      </c>
      <c r="K137" s="127" t="n"/>
      <c r="L137" s="127" t="n"/>
      <c r="M137" s="127" t="n"/>
    </row>
    <row r="138">
      <c r="A138" s="123" t="n"/>
      <c r="B138" s="131" t="n"/>
      <c r="C138" s="132" t="n"/>
      <c r="D138" s="47" t="inlineStr">
        <is>
          <t>Suministros</t>
        </is>
      </c>
      <c r="E138" s="11" t="inlineStr">
        <is>
          <t>MMPVAJI002****</t>
        </is>
      </c>
      <c r="F138" s="11" t="n"/>
      <c r="G138" s="11" t="inlineStr">
        <is>
          <t>Teléfonica de España S.A.U.</t>
        </is>
      </c>
      <c r="H138" s="11" t="inlineStr">
        <is>
          <t>2025-10-23</t>
        </is>
      </c>
      <c r="I138" s="11" t="inlineStr">
        <is>
          <t>2025-10-23</t>
        </is>
      </c>
      <c r="J138" s="11" t="n">
        <v>6.6116</v>
      </c>
      <c r="K138" s="127" t="n"/>
      <c r="L138" s="127" t="n"/>
      <c r="M138" s="127" t="n"/>
    </row>
    <row r="139">
      <c r="A139" s="123" t="n"/>
      <c r="B139" s="131" t="n"/>
      <c r="C139" s="132" t="n"/>
      <c r="D139" s="47" t="inlineStr">
        <is>
          <t>Teléfono/Internet</t>
        </is>
      </c>
      <c r="E139" s="11" t="inlineStr">
        <is>
          <t>FMPVAKI003****</t>
        </is>
      </c>
      <c r="F139" s="11" t="n"/>
      <c r="G139" s="11" t="inlineStr">
        <is>
          <t>Teléfonica de España S.A.U.</t>
        </is>
      </c>
      <c r="H139" s="11" t="inlineStr">
        <is>
          <t>2025-11-25</t>
        </is>
      </c>
      <c r="I139" s="11" t="inlineStr"/>
      <c r="J139" s="11" t="n">
        <v>56.1</v>
      </c>
      <c r="K139" s="127" t="n"/>
      <c r="L139" s="127" t="n"/>
      <c r="M139" s="127" t="n"/>
    </row>
    <row r="140">
      <c r="A140" s="123" t="n"/>
      <c r="B140" s="131" t="n"/>
      <c r="C140" s="132" t="n"/>
      <c r="D140" s="47" t="inlineStr">
        <is>
          <t>Teléfono/Internet</t>
        </is>
      </c>
      <c r="E140" s="11" t="inlineStr">
        <is>
          <t>FMPVALI001****</t>
        </is>
      </c>
      <c r="F140" s="11" t="n"/>
      <c r="G140" s="11" t="inlineStr">
        <is>
          <t>Teléfonica de España S.A.U.</t>
        </is>
      </c>
      <c r="H140" s="11" t="inlineStr">
        <is>
          <t>2025-12-25</t>
        </is>
      </c>
      <c r="I140" s="11" t="inlineStr"/>
      <c r="J140" s="11" t="n">
        <v>52.06</v>
      </c>
      <c r="K140" s="127" t="n"/>
      <c r="L140" s="127" t="n"/>
      <c r="M140" s="127" t="n"/>
    </row>
    <row r="141">
      <c r="A141" s="123" t="n"/>
      <c r="B141" s="131" t="n"/>
      <c r="C141" s="132" t="n"/>
      <c r="D141" s="47" t="inlineStr">
        <is>
          <t>Teléfono/Internet</t>
        </is>
      </c>
      <c r="E141" s="11" t="inlineStr">
        <is>
          <t>MMPVAKI001****</t>
        </is>
      </c>
      <c r="F141" s="11" t="n"/>
      <c r="G141" s="11" t="inlineStr">
        <is>
          <t>Teléfonica de España S.A.U.</t>
        </is>
      </c>
      <c r="H141" s="11" t="inlineStr">
        <is>
          <t>2025-11-25</t>
        </is>
      </c>
      <c r="I141" s="11" t="inlineStr"/>
      <c r="J141" s="11" t="n">
        <v>6.61</v>
      </c>
      <c r="K141" s="127" t="n"/>
      <c r="L141" s="127" t="n"/>
      <c r="M141" s="127" t="n"/>
    </row>
    <row r="142">
      <c r="A142" s="123" t="n"/>
      <c r="B142" s="131" t="n"/>
      <c r="C142" s="132" t="n"/>
      <c r="D142" s="47" t="inlineStr">
        <is>
          <t>Teléfono/Internet</t>
        </is>
      </c>
      <c r="E142" s="11" t="inlineStr">
        <is>
          <t>MMPVALI001****</t>
        </is>
      </c>
      <c r="F142" s="11" t="n"/>
      <c r="G142" s="11" t="inlineStr">
        <is>
          <t>Teléfonica de España S.A.U.</t>
        </is>
      </c>
      <c r="H142" s="11" t="inlineStr">
        <is>
          <t>2025-12-25</t>
        </is>
      </c>
      <c r="I142" s="11" t="inlineStr"/>
      <c r="J142" s="11" t="n">
        <v>7.43</v>
      </c>
      <c r="K142" s="127" t="n"/>
      <c r="L142" s="127" t="n"/>
      <c r="M142" s="127" t="n"/>
    </row>
    <row r="143">
      <c r="A143" s="123" t="n"/>
      <c r="B143" s="131" t="n"/>
      <c r="C143" s="132" t="n"/>
      <c r="D143" s="47" t="inlineStr">
        <is>
          <t>alquiler sala de reunión</t>
        </is>
      </c>
      <c r="E143" s="11" t="inlineStr">
        <is>
          <t>4644-2025-2289INV</t>
        </is>
      </c>
      <c r="F143" s="11" t="n"/>
      <c r="G143" s="11" t="inlineStr">
        <is>
          <t>Regus Management España S.L.</t>
        </is>
      </c>
      <c r="H143" s="11" t="inlineStr">
        <is>
          <t>2025-11-24</t>
        </is>
      </c>
      <c r="I143" s="11" t="inlineStr"/>
      <c r="J143" s="11" t="n">
        <v>27.5</v>
      </c>
      <c r="K143" s="127" t="n"/>
      <c r="L143" s="127" t="n"/>
      <c r="M143" s="127" t="n"/>
    </row>
    <row r="144">
      <c r="A144" s="123" t="n"/>
      <c r="B144" s="131" t="n"/>
      <c r="C144" s="132" t="n"/>
      <c r="D144" s="47" t="inlineStr">
        <is>
          <t>Teléfono/Internet</t>
        </is>
      </c>
      <c r="E144" s="11" t="n">
        <v>14</v>
      </c>
      <c r="F144" s="11" t="n"/>
      <c r="G144" s="11" t="inlineStr">
        <is>
          <t>Teléfonica de España S.A.U.</t>
        </is>
      </c>
      <c r="H144" s="11" t="inlineStr">
        <is>
          <t>2026-03-25</t>
        </is>
      </c>
      <c r="I144" s="11" t="inlineStr"/>
      <c r="J144" s="11" t="n">
        <v>7.62</v>
      </c>
      <c r="K144" s="127" t="n"/>
      <c r="L144" s="127" t="n"/>
      <c r="M144" s="127" t="n"/>
    </row>
    <row r="145">
      <c r="A145" s="123" t="n"/>
      <c r="B145" s="131" t="n"/>
      <c r="C145" s="132" t="n"/>
      <c r="D145" s="47" t="inlineStr">
        <is>
          <t>Teléfono/Internet</t>
        </is>
      </c>
      <c r="E145" s="11" t="n">
        <v>15</v>
      </c>
      <c r="F145" s="11" t="n"/>
      <c r="G145" s="11" t="inlineStr">
        <is>
          <t>Teléfonica de España S.A.U.</t>
        </is>
      </c>
      <c r="H145" s="11" t="inlineStr">
        <is>
          <t>2026-03-25</t>
        </is>
      </c>
      <c r="I145" s="11" t="inlineStr"/>
      <c r="J145" s="11" t="n">
        <v>53.72</v>
      </c>
      <c r="K145" s="127" t="n"/>
      <c r="L145" s="127" t="n"/>
      <c r="M145" s="127" t="n"/>
    </row>
    <row r="146">
      <c r="A146" s="123" t="n"/>
      <c r="B146" s="131" t="n"/>
      <c r="C146" s="132" t="n"/>
      <c r="D146" s="47" t="inlineStr">
        <is>
          <t>Teléfono/Internet</t>
        </is>
      </c>
      <c r="E146" s="11" t="n">
        <v>16</v>
      </c>
      <c r="F146" s="11" t="n"/>
      <c r="G146" s="11" t="inlineStr">
        <is>
          <t>Teléfonica de España S.A.U.</t>
        </is>
      </c>
      <c r="H146" s="11" t="inlineStr">
        <is>
          <t>2026-02-25</t>
        </is>
      </c>
      <c r="I146" s="11" t="inlineStr"/>
      <c r="J146" s="11" t="n">
        <v>53.56</v>
      </c>
      <c r="K146" s="127" t="n"/>
      <c r="L146" s="127" t="n"/>
      <c r="M146" s="127" t="n"/>
    </row>
    <row r="147">
      <c r="A147" s="123" t="n"/>
      <c r="B147" s="131" t="n"/>
      <c r="C147" s="132" t="n"/>
      <c r="D147" s="47" t="inlineStr">
        <is>
          <t>Teléfono/Internet</t>
        </is>
      </c>
      <c r="E147" s="11" t="n">
        <v>17</v>
      </c>
      <c r="F147" s="11" t="n"/>
      <c r="G147" s="11" t="inlineStr">
        <is>
          <t>Teléfonica de España S.A.U.</t>
        </is>
      </c>
      <c r="H147" s="11" t="inlineStr">
        <is>
          <t>2026-01-25</t>
        </is>
      </c>
      <c r="I147" s="11" t="inlineStr"/>
      <c r="J147" s="11" t="n">
        <v>52.06</v>
      </c>
      <c r="K147" s="127" t="n"/>
      <c r="L147" s="127" t="n"/>
      <c r="M147" s="127" t="n"/>
    </row>
    <row r="148">
      <c r="A148" s="123" t="n"/>
      <c r="B148" s="128" t="n"/>
      <c r="C148" s="129" t="n"/>
      <c r="D148" s="47" t="inlineStr">
        <is>
          <t>GESTORIA</t>
        </is>
      </c>
      <c r="E148" s="11" t="inlineStr">
        <is>
          <t>2601187</t>
        </is>
      </c>
      <c r="F148" s="11" t="n"/>
      <c r="G148" s="11" t="inlineStr">
        <is>
          <t>Víctor García Marín</t>
        </is>
      </c>
      <c r="H148" s="11" t="inlineStr"/>
      <c r="I148" s="11" t="inlineStr"/>
      <c r="J148" s="11" t="n">
        <v>780</v>
      </c>
      <c r="K148" s="130" t="n"/>
      <c r="L148" s="130" t="n"/>
      <c r="M148" s="130" t="n"/>
    </row>
    <row r="149">
      <c r="A149" s="123" t="n"/>
      <c r="B149" t="inlineStr">
        <is>
          <t>adminisTRACION</t>
        </is>
      </c>
      <c r="D149" s="47" t="inlineStr">
        <is>
          <t>TELÉFONO/INTERNET</t>
        </is>
      </c>
      <c r="E149" s="11" t="inlineStr">
        <is>
          <t>MMPVAEJ001****</t>
        </is>
      </c>
      <c r="F149" s="11" t="n"/>
      <c r="G149" s="11" t="inlineStr">
        <is>
          <t>Teléfonica de España S.A.U.</t>
        </is>
      </c>
      <c r="H149" s="11" t="inlineStr">
        <is>
          <t>2026-05-25</t>
        </is>
      </c>
      <c r="I149" s="11" t="inlineStr"/>
      <c r="J149" s="11" t="n">
        <v>7.44</v>
      </c>
      <c r="K149">
        <f>SUM(J149:J152)</f>
        <v/>
      </c>
      <c r="L149" t="n">
        <v>870.91</v>
      </c>
      <c r="M149">
        <f>L149-K149</f>
        <v/>
      </c>
    </row>
    <row r="150">
      <c r="A150" s="123" t="n"/>
      <c r="D150" s="47" t="inlineStr">
        <is>
          <t>TELÉFONO/INTERNET</t>
        </is>
      </c>
      <c r="E150" s="11" t="inlineStr">
        <is>
          <t>MMPVADJ0025146</t>
        </is>
      </c>
      <c r="F150" s="11" t="n"/>
      <c r="G150" s="11" t="inlineStr">
        <is>
          <t>Teléfonica de España S.A.U.</t>
        </is>
      </c>
      <c r="H150" s="11" t="inlineStr">
        <is>
          <t>2026-04-25</t>
        </is>
      </c>
      <c r="I150" s="11" t="inlineStr"/>
      <c r="J150" s="11" t="n">
        <v>7.81</v>
      </c>
    </row>
    <row r="151">
      <c r="A151" s="123" t="n"/>
      <c r="D151" s="47" t="inlineStr">
        <is>
          <t>TELÉFONO/INTERNET</t>
        </is>
      </c>
      <c r="E151" s="11" t="inlineStr">
        <is>
          <t>FMPVAEJ003****</t>
        </is>
      </c>
      <c r="F151" s="11" t="n"/>
      <c r="G151" s="11" t="inlineStr">
        <is>
          <t>Teléfonica de España S.A.U.</t>
        </is>
      </c>
      <c r="H151" s="11" t="inlineStr">
        <is>
          <t>2026-05-25</t>
        </is>
      </c>
      <c r="I151" s="11" t="inlineStr"/>
      <c r="J151" s="11" t="n">
        <v>53.72</v>
      </c>
    </row>
    <row r="152">
      <c r="A152" s="123" t="n"/>
      <c r="D152" s="47" t="inlineStr">
        <is>
          <t>TELÉFONO/INTERNET</t>
        </is>
      </c>
      <c r="E152" s="11" t="inlineStr">
        <is>
          <t>FMPVADJ0062265</t>
        </is>
      </c>
      <c r="F152" s="11" t="n"/>
      <c r="G152" s="11" t="inlineStr">
        <is>
          <t>Teléfonica de España S.A.U.</t>
        </is>
      </c>
      <c r="H152" s="11" t="inlineStr">
        <is>
          <t>2026-04-25</t>
        </is>
      </c>
      <c r="I152" s="11" t="inlineStr"/>
      <c r="J152" s="11" t="n">
        <v>53.72</v>
      </c>
    </row>
    <row r="153">
      <c r="A153" s="123" t="n"/>
      <c r="B153" t="inlineStr">
        <is>
          <t>GESTORIA</t>
        </is>
      </c>
      <c r="D153" s="47" t="inlineStr">
        <is>
          <t>Riesgos laborales</t>
        </is>
      </c>
      <c r="E153" s="11" t="inlineStr">
        <is>
          <t>25032622-R</t>
        </is>
      </c>
      <c r="F153" s="11" t="n"/>
      <c r="G153" s="11" t="inlineStr">
        <is>
          <t>LABORAL RISK S.L.U.</t>
        </is>
      </c>
      <c r="H153" s="11" t="inlineStr">
        <is>
          <t>2025-10-27</t>
        </is>
      </c>
      <c r="I153" s="11" t="inlineStr">
        <is>
          <t>2025-10-27</t>
        </is>
      </c>
      <c r="J153" s="11" t="n">
        <v>222</v>
      </c>
      <c r="K153">
        <f>SUM(J153:J154)</f>
        <v/>
      </c>
      <c r="L153" t="n">
        <v>994</v>
      </c>
      <c r="M153">
        <f>L153-K153</f>
        <v/>
      </c>
    </row>
    <row r="154">
      <c r="A154" s="123" t="n"/>
      <c r="D154" s="47" t="inlineStr">
        <is>
          <t>Gestoria</t>
        </is>
      </c>
      <c r="E154" s="11" t="inlineStr">
        <is>
          <t>2501006</t>
        </is>
      </c>
      <c r="F154" s="11" t="n"/>
      <c r="G154" s="11" t="inlineStr">
        <is>
          <t>Víctor García Marín</t>
        </is>
      </c>
      <c r="H154" s="11" t="inlineStr">
        <is>
          <t>2025-12-19</t>
        </is>
      </c>
      <c r="I154" s="11" t="inlineStr"/>
      <c r="J154" s="11" t="n">
        <v>350</v>
      </c>
    </row>
    <row r="155">
      <c r="A155" s="124" t="n"/>
      <c r="B155" s="61" t="inlineStr">
        <is>
          <t>TOTAL DE GASTOS ORDINARIOS DE LA ENTIDAD</t>
        </is>
      </c>
      <c r="C155" s="118" t="n"/>
      <c r="D155" s="118" t="n"/>
      <c r="E155" s="118" t="n"/>
      <c r="F155" s="118" t="n"/>
      <c r="G155" s="118" t="n"/>
      <c r="H155" s="118" t="n"/>
      <c r="I155" s="119" t="n"/>
      <c r="J155" s="48">
        <f>SUM(J131:J154)</f>
        <v/>
      </c>
      <c r="K155" s="48">
        <f>SUM(J131:J154)</f>
        <v/>
      </c>
      <c r="L155" s="11" t="n"/>
      <c r="M155" s="11" t="n"/>
    </row>
    <row r="156">
      <c r="A156" s="136" t="inlineStr">
        <is>
          <t>TOTAL DE GASTOS</t>
        </is>
      </c>
      <c r="B156" s="112" t="n"/>
      <c r="C156" s="112" t="n"/>
      <c r="D156" s="112" t="n"/>
      <c r="E156" s="112" t="n"/>
      <c r="F156" s="112" t="n"/>
      <c r="G156" s="112" t="n"/>
      <c r="H156" s="112" t="n"/>
      <c r="I156" s="114" t="n"/>
      <c r="J156" s="28">
        <f>J155+J129+J119+J112</f>
        <v/>
      </c>
      <c r="K156" s="19" t="n"/>
    </row>
    <row r="157">
      <c r="A157" s="6" t="n"/>
    </row>
    <row r="158">
      <c r="A158" s="65" t="inlineStr">
        <is>
          <t>3. RESUMEN DE GASTOS</t>
        </is>
      </c>
      <c r="B158" s="6" t="n"/>
      <c r="C158" s="6" t="n"/>
      <c r="D158" s="6" t="n"/>
      <c r="E158" s="6" t="n"/>
      <c r="F158" s="6" t="n"/>
      <c r="G158" s="6" t="n"/>
      <c r="H158" s="6" t="n"/>
      <c r="I158" s="6" t="n"/>
      <c r="J158" s="6" t="n"/>
      <c r="K158" s="6" t="n"/>
      <c r="L158" s="6" t="n"/>
      <c r="M158" s="6" t="n"/>
    </row>
    <row r="159"/>
    <row r="160"/>
    <row r="161">
      <c r="A161" s="102" t="inlineStr">
        <is>
          <t>GASTOS</t>
        </is>
      </c>
      <c r="B161" s="112" t="n"/>
      <c r="C161" s="112" t="n"/>
      <c r="D161" s="112" t="n"/>
      <c r="E161" s="112" t="n"/>
      <c r="F161" s="112" t="n"/>
      <c r="G161" s="112" t="n"/>
      <c r="H161" s="112" t="n"/>
      <c r="I161" s="112" t="n"/>
      <c r="J161" s="112" t="n"/>
      <c r="K161" s="112" t="n"/>
      <c r="L161" s="114" t="n"/>
      <c r="M161" s="32" t="inlineStr">
        <is>
          <t xml:space="preserve">   IMPORTE</t>
        </is>
      </c>
    </row>
    <row r="162">
      <c r="A162" s="103" t="inlineStr">
        <is>
          <t>Total de gastos financiados con cargo a la Ayuda a proyectos profesionales y empresariales para la innovación en las industrias culturales y creativas</t>
        </is>
      </c>
      <c r="B162" s="112" t="n"/>
      <c r="C162" s="112" t="n"/>
      <c r="D162" s="112" t="n"/>
      <c r="E162" s="112" t="n"/>
      <c r="F162" s="112" t="n"/>
      <c r="G162" s="112" t="n"/>
      <c r="H162" s="112" t="n"/>
      <c r="I162" s="112" t="n"/>
      <c r="J162" s="112" t="n"/>
      <c r="K162" s="112" t="n"/>
      <c r="L162" s="114" t="n"/>
      <c r="M162" s="3">
        <f>J102</f>
        <v/>
      </c>
    </row>
    <row r="163">
      <c r="A163" s="103" t="inlineStr">
        <is>
          <t>Total Otros gastos del proyecto</t>
        </is>
      </c>
      <c r="B163" s="112" t="n"/>
      <c r="C163" s="112" t="n"/>
      <c r="D163" s="112" t="n"/>
      <c r="E163" s="112" t="n"/>
      <c r="F163" s="112" t="n"/>
      <c r="G163" s="112" t="n"/>
      <c r="H163" s="112" t="n"/>
      <c r="I163" s="112" t="n"/>
      <c r="J163" s="112" t="n"/>
      <c r="K163" s="112" t="n"/>
      <c r="L163" s="114" t="n"/>
      <c r="M163" s="3">
        <f>J156</f>
        <v/>
      </c>
    </row>
    <row r="164">
      <c r="A164" s="107" t="inlineStr">
        <is>
          <t>TOTAL DE GASTOS (Esta cantidad debe coincidir con el "Total de Ingresos")</t>
        </is>
      </c>
      <c r="B164" s="112" t="n"/>
      <c r="C164" s="112" t="n"/>
      <c r="D164" s="112" t="n"/>
      <c r="E164" s="112" t="n"/>
      <c r="F164" s="112" t="n"/>
      <c r="G164" s="112" t="n"/>
      <c r="H164" s="112" t="n"/>
      <c r="I164" s="112" t="n"/>
      <c r="J164" s="112" t="n"/>
      <c r="K164" s="112" t="n"/>
      <c r="L164" s="114" t="n"/>
      <c r="M164" s="33">
        <f>SUM(M162:M163)</f>
        <v/>
      </c>
    </row>
    <row r="165"/>
    <row r="166"/>
    <row r="167">
      <c r="A167" s="43" t="inlineStr">
        <is>
          <t>La estructura de este modelo debe respetarse pudiéndose añadir las filas extra que resulten necesarias.</t>
        </is>
      </c>
      <c r="B167" s="6" t="n"/>
      <c r="C167" s="6" t="n"/>
      <c r="D167" s="6" t="n"/>
      <c r="E167" s="6" t="n"/>
      <c r="F167" s="6" t="n"/>
      <c r="G167" s="6" t="n"/>
      <c r="H167" s="6" t="n"/>
    </row>
    <row r="168">
      <c r="A168" s="7" t="n"/>
      <c r="B168" s="8" t="n"/>
      <c r="C168" s="8" t="n"/>
      <c r="D168" s="8" t="n"/>
      <c r="E168" s="8" t="n"/>
      <c r="F168" s="8" t="n"/>
      <c r="G168" s="8" t="n"/>
      <c r="H168" s="8" t="n"/>
    </row>
    <row r="169">
      <c r="A169" s="44" t="inlineStr">
        <is>
          <t xml:space="preserve">Se deberán reflejar todas las partidas del presupuesto inicial y en caso de no haberse ejecutado se indicarán con coste 0 en el Importe ejecutado. 
En el supuesto de incorporar nuevas partidas no recogidas en el presupuesto inicial se indicarán con coste 0 en el Importe presupuestado. </t>
        </is>
      </c>
    </row>
    <row r="170"/>
    <row r="171">
      <c r="A171" s="45" t="inlineStr">
        <is>
          <t>Para el cálculo y cumplimentación de las desviaciones solo se considerarán las partidas con desviación negativa. Las desviaciones positivas (importe ejecutado superior al importe presupuestado) no serán objeto de cómputo ni compensarán las desviaciones negativas.</t>
        </is>
      </c>
    </row>
    <row r="172"/>
    <row r="173">
      <c r="A173" s="34" t="inlineStr">
        <is>
          <t xml:space="preserve">   Esta relación debe recoger el TOTAL de los gastos del proyecto, IVA excluido.</t>
        </is>
      </c>
    </row>
  </sheetData>
  <mergeCells count="133">
    <mergeCell ref="A5:M5"/>
    <mergeCell ref="E31:F32"/>
    <mergeCell ref="E23:F23"/>
    <mergeCell ref="B66:C81"/>
    <mergeCell ref="K24:K29"/>
    <mergeCell ref="I106:I107"/>
    <mergeCell ref="K153:K154"/>
    <mergeCell ref="K106:K107"/>
    <mergeCell ref="M153:M154"/>
    <mergeCell ref="K66:K81"/>
    <mergeCell ref="M66:M81"/>
    <mergeCell ref="L121:L126"/>
    <mergeCell ref="B14:L14"/>
    <mergeCell ref="A106:A112"/>
    <mergeCell ref="M131:M148"/>
    <mergeCell ref="G113:G114"/>
    <mergeCell ref="J22:J23"/>
    <mergeCell ref="B40:C40"/>
    <mergeCell ref="A7:M7"/>
    <mergeCell ref="J31:J32"/>
    <mergeCell ref="L31:L32"/>
    <mergeCell ref="A120:A129"/>
    <mergeCell ref="M24:M29"/>
    <mergeCell ref="I31:I32"/>
    <mergeCell ref="M47:M48"/>
    <mergeCell ref="K127:K128"/>
    <mergeCell ref="B45:I45"/>
    <mergeCell ref="A9:K9"/>
    <mergeCell ref="B16:L16"/>
    <mergeCell ref="A14:A16"/>
    <mergeCell ref="A20:M20"/>
    <mergeCell ref="A12:L12"/>
    <mergeCell ref="B130:C130"/>
    <mergeCell ref="B39:I39"/>
    <mergeCell ref="A22:A30"/>
    <mergeCell ref="H22:H23"/>
    <mergeCell ref="J113:J114"/>
    <mergeCell ref="B24:C29"/>
    <mergeCell ref="L113:L114"/>
    <mergeCell ref="B131:C148"/>
    <mergeCell ref="E40:F40"/>
    <mergeCell ref="A11:M11"/>
    <mergeCell ref="B22:C23"/>
    <mergeCell ref="K1:M2"/>
    <mergeCell ref="A161:L161"/>
    <mergeCell ref="L22:L23"/>
    <mergeCell ref="A102:I102"/>
    <mergeCell ref="B149:C152"/>
    <mergeCell ref="B47:C48"/>
    <mergeCell ref="M106:M107"/>
    <mergeCell ref="A8:K8"/>
    <mergeCell ref="E120:F120"/>
    <mergeCell ref="B15:L15"/>
    <mergeCell ref="L86:L100"/>
    <mergeCell ref="A167:H167"/>
    <mergeCell ref="H106:H107"/>
    <mergeCell ref="K131:K148"/>
    <mergeCell ref="K49:K65"/>
    <mergeCell ref="E130:F130"/>
    <mergeCell ref="K121:K126"/>
    <mergeCell ref="M121:M126"/>
    <mergeCell ref="A113:A119"/>
    <mergeCell ref="A169:H169"/>
    <mergeCell ref="H31:H32"/>
    <mergeCell ref="B155:I155"/>
    <mergeCell ref="A19:M19"/>
    <mergeCell ref="E107:F107"/>
    <mergeCell ref="B120:C120"/>
    <mergeCell ref="K149:K152"/>
    <mergeCell ref="K47:K48"/>
    <mergeCell ref="M149:M152"/>
    <mergeCell ref="L8:M8"/>
    <mergeCell ref="B101:I101"/>
    <mergeCell ref="K31:K32"/>
    <mergeCell ref="B49:C65"/>
    <mergeCell ref="L24:L29"/>
    <mergeCell ref="B119:I119"/>
    <mergeCell ref="B113:C114"/>
    <mergeCell ref="A156:I156"/>
    <mergeCell ref="L153:L154"/>
    <mergeCell ref="E46:F46"/>
    <mergeCell ref="L66:L81"/>
    <mergeCell ref="A13:L13"/>
    <mergeCell ref="B112:I112"/>
    <mergeCell ref="B106:C107"/>
    <mergeCell ref="F22:G22"/>
    <mergeCell ref="L9:M9"/>
    <mergeCell ref="A171:G172"/>
    <mergeCell ref="L149:L152"/>
    <mergeCell ref="H113:H114"/>
    <mergeCell ref="A46:A101"/>
    <mergeCell ref="D31:D32"/>
    <mergeCell ref="A104:M104"/>
    <mergeCell ref="A162:L162"/>
    <mergeCell ref="B86:C100"/>
    <mergeCell ref="B121:C126"/>
    <mergeCell ref="A40:A45"/>
    <mergeCell ref="L47:L48"/>
    <mergeCell ref="B129:I129"/>
    <mergeCell ref="A164:L164"/>
    <mergeCell ref="I113:I114"/>
    <mergeCell ref="K113:K114"/>
    <mergeCell ref="B46:C46"/>
    <mergeCell ref="L127:L128"/>
    <mergeCell ref="M113:M114"/>
    <mergeCell ref="B127:C128"/>
    <mergeCell ref="M49:M65"/>
    <mergeCell ref="I22:I23"/>
    <mergeCell ref="A163:L163"/>
    <mergeCell ref="E113:F114"/>
    <mergeCell ref="K22:K23"/>
    <mergeCell ref="M22:M23"/>
    <mergeCell ref="M31:M32"/>
    <mergeCell ref="A17:L17"/>
    <mergeCell ref="D106:D107"/>
    <mergeCell ref="F106:G106"/>
    <mergeCell ref="K86:K100"/>
    <mergeCell ref="M86:M100"/>
    <mergeCell ref="B31:C32"/>
    <mergeCell ref="B153:C154"/>
    <mergeCell ref="J106:J107"/>
    <mergeCell ref="A31:A39"/>
    <mergeCell ref="B30:I30"/>
    <mergeCell ref="L131:L148"/>
    <mergeCell ref="L49:L65"/>
    <mergeCell ref="A1:C1"/>
    <mergeCell ref="D113:D114"/>
    <mergeCell ref="A158:M158"/>
    <mergeCell ref="M127:M128"/>
    <mergeCell ref="A130:A155"/>
    <mergeCell ref="G31:G32"/>
    <mergeCell ref="L106:L107"/>
    <mergeCell ref="D22:D23"/>
  </mergeCells>
  <pageMargins left="0.7" right="0.7" top="0.75" bottom="0.75" header="0.3" footer="0.3"/>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98"/>
  <sheetViews>
    <sheetView workbookViewId="0">
      <selection activeCell="A1" sqref="A1"/>
    </sheetView>
  </sheetViews>
  <sheetFormatPr baseColWidth="8" defaultRowHeight="15"/>
  <sheetData>
    <row r="1">
      <c r="A1" t="inlineStr">
        <is>
          <t>tipo_gasto</t>
        </is>
      </c>
      <c r="B1" t="inlineStr">
        <is>
          <t>gasto_original</t>
        </is>
      </c>
      <c r="C1" t="inlineStr">
        <is>
          <t>gasto_normalizado</t>
        </is>
      </c>
      <c r="D1" t="inlineStr">
        <is>
          <t>cargo</t>
        </is>
      </c>
      <c r="E1" t="inlineStr">
        <is>
          <t>partida</t>
        </is>
      </c>
      <c r="F1" t="inlineStr">
        <is>
          <t>concepto</t>
        </is>
      </c>
      <c r="G1" t="inlineStr">
        <is>
          <t>justificante</t>
        </is>
      </c>
      <c r="H1" t="inlineStr">
        <is>
          <t>fecha_factura</t>
        </is>
      </c>
      <c r="I1" t="inlineStr">
        <is>
          <t>importe</t>
        </is>
      </c>
    </row>
    <row r="2">
      <c r="A2" t="inlineStr">
        <is>
          <t>EXTERNO</t>
        </is>
      </c>
      <c r="B2" t="inlineStr">
        <is>
          <t>PROVEEDORES EXTERNOS</t>
        </is>
      </c>
      <c r="C2" t="inlineStr">
        <is>
          <t>externos</t>
        </is>
      </c>
      <c r="D2" t="inlineStr">
        <is>
          <t>AYUDA</t>
        </is>
      </c>
      <c r="E2" t="inlineStr">
        <is>
          <t>COMERCIALIZACION</t>
        </is>
      </c>
      <c r="F2" t="inlineStr">
        <is>
          <t>MERCARTES 2025 Stand modular 6m2</t>
        </is>
      </c>
      <c r="G2" t="inlineStr">
        <is>
          <t>WEB-FS-2500110</t>
        </is>
      </c>
      <c r="H2" t="inlineStr">
        <is>
          <t>2025-09-01</t>
        </is>
      </c>
      <c r="I2" t="n">
        <v>948</v>
      </c>
    </row>
    <row r="3">
      <c r="A3" t="inlineStr">
        <is>
          <t>EXTERNO</t>
        </is>
      </c>
      <c r="B3" t="inlineStr">
        <is>
          <t>PROVEEDORES EXTERNOS</t>
        </is>
      </c>
      <c r="C3" t="inlineStr">
        <is>
          <t>externos</t>
        </is>
      </c>
      <c r="D3" t="inlineStr">
        <is>
          <t>AYUDA</t>
        </is>
      </c>
      <c r="E3" t="inlineStr">
        <is>
          <t>SOFTWARE</t>
        </is>
      </c>
      <c r="F3" t="inlineStr">
        <is>
          <t>Servidor</t>
        </is>
      </c>
      <c r="G3" t="inlineStr">
        <is>
          <t>202783634042</t>
        </is>
      </c>
      <c r="H3" t="inlineStr">
        <is>
          <t>2025-07-25</t>
        </is>
      </c>
      <c r="I3" t="n">
        <v>14</v>
      </c>
    </row>
    <row r="4">
      <c r="A4" t="inlineStr">
        <is>
          <t>EXTERNO</t>
        </is>
      </c>
      <c r="B4" t="inlineStr">
        <is>
          <t>PROVEEDORES EXTERNOS</t>
        </is>
      </c>
      <c r="C4" t="inlineStr">
        <is>
          <t>externos</t>
        </is>
      </c>
      <c r="D4" t="inlineStr">
        <is>
          <t>AYUDA</t>
        </is>
      </c>
      <c r="E4" t="inlineStr">
        <is>
          <t>SOFTWARE</t>
        </is>
      </c>
      <c r="F4" t="inlineStr">
        <is>
          <t>Servidor</t>
        </is>
      </c>
      <c r="G4" t="inlineStr">
        <is>
          <t>202783913737</t>
        </is>
      </c>
      <c r="H4" t="inlineStr">
        <is>
          <t>2025-08-25</t>
        </is>
      </c>
      <c r="I4" t="n">
        <v>14</v>
      </c>
    </row>
    <row r="5">
      <c r="A5" t="inlineStr">
        <is>
          <t>EXTERNO</t>
        </is>
      </c>
      <c r="B5" t="inlineStr">
        <is>
          <t>PROVEEDORES EXTERNOS</t>
        </is>
      </c>
      <c r="C5" t="inlineStr">
        <is>
          <t>externos</t>
        </is>
      </c>
      <c r="D5" t="inlineStr">
        <is>
          <t>AYUDA</t>
        </is>
      </c>
      <c r="E5" t="inlineStr">
        <is>
          <t>SOFTWARE</t>
        </is>
      </c>
      <c r="F5" t="inlineStr">
        <is>
          <t>Mantenimiento (1r Semestre 2025)</t>
        </is>
      </c>
      <c r="G5" t="inlineStr">
        <is>
          <t>14/2025</t>
        </is>
      </c>
      <c r="H5" t="inlineStr">
        <is>
          <t>2025-07-01</t>
        </is>
      </c>
      <c r="I5" t="n">
        <v>480</v>
      </c>
    </row>
    <row r="6">
      <c r="A6" t="inlineStr">
        <is>
          <t>EXTERNO</t>
        </is>
      </c>
      <c r="B6" t="inlineStr">
        <is>
          <t>PROVEEDORES EXTERNOS</t>
        </is>
      </c>
      <c r="C6" t="inlineStr">
        <is>
          <t>externos</t>
        </is>
      </c>
      <c r="D6" t="inlineStr">
        <is>
          <t>AYUDA</t>
        </is>
      </c>
      <c r="E6" t="inlineStr">
        <is>
          <t>COMUNICACION</t>
        </is>
      </c>
      <c r="F6" t="inlineStr">
        <is>
          <t>Compra TV Philips LED 55PUS7000 55" 4K Ultra HD Smart TV HDR10+ Dolby Atmos WiFi Bluetooth</t>
        </is>
      </c>
      <c r="G6" t="inlineStr">
        <is>
          <t>12025/296664</t>
        </is>
      </c>
      <c r="H6" t="inlineStr">
        <is>
          <t>2025-09-11</t>
        </is>
      </c>
      <c r="I6" t="n">
        <v>264.45</v>
      </c>
    </row>
    <row r="7">
      <c r="A7" t="inlineStr">
        <is>
          <t>EXTERNO</t>
        </is>
      </c>
      <c r="B7" t="inlineStr">
        <is>
          <t>PROVEEDORES EXTERNOS</t>
        </is>
      </c>
      <c r="C7" t="inlineStr">
        <is>
          <t>externos</t>
        </is>
      </c>
      <c r="D7" t="inlineStr">
        <is>
          <t>AYUDA</t>
        </is>
      </c>
      <c r="E7" t="inlineStr">
        <is>
          <t>COMERCIALIZACION</t>
        </is>
      </c>
      <c r="F7" t="inlineStr">
        <is>
          <t>MERCARTES (comida)</t>
        </is>
      </c>
      <c r="G7" t="inlineStr">
        <is>
          <t>WEB-TP-251024</t>
        </is>
      </c>
      <c r="H7" t="inlineStr">
        <is>
          <t>2025-09-18</t>
        </is>
      </c>
      <c r="I7" t="n">
        <v>15.45</v>
      </c>
    </row>
    <row r="8">
      <c r="A8" t="inlineStr">
        <is>
          <t>EXTERNO</t>
        </is>
      </c>
      <c r="B8" t="inlineStr">
        <is>
          <t>PROVEEDORES EXTERNOS</t>
        </is>
      </c>
      <c r="C8" t="inlineStr">
        <is>
          <t>externos</t>
        </is>
      </c>
      <c r="D8" t="inlineStr">
        <is>
          <t>AYUDA</t>
        </is>
      </c>
      <c r="E8" t="inlineStr">
        <is>
          <t>COMERCIALIZACION</t>
        </is>
      </c>
      <c r="F8" t="inlineStr">
        <is>
          <t>dietas</t>
        </is>
      </c>
      <c r="G8" t="inlineStr">
        <is>
          <t>19/2025</t>
        </is>
      </c>
      <c r="H8" t="inlineStr">
        <is>
          <t>2025-09-18</t>
        </is>
      </c>
      <c r="I8" t="n">
        <v>49.87</v>
      </c>
    </row>
    <row r="9">
      <c r="A9" t="inlineStr">
        <is>
          <t>EXTERNO</t>
        </is>
      </c>
      <c r="B9" t="inlineStr">
        <is>
          <t>PROVEEDORES EXTERNOS</t>
        </is>
      </c>
      <c r="C9" t="inlineStr">
        <is>
          <t>externos</t>
        </is>
      </c>
      <c r="D9" t="inlineStr">
        <is>
          <t>AYUDA</t>
        </is>
      </c>
      <c r="E9" t="inlineStr">
        <is>
          <t>COMERCIALIZACION</t>
        </is>
      </c>
      <c r="F9" t="inlineStr">
        <is>
          <t>MERCARTES (comida)</t>
        </is>
      </c>
      <c r="G9" t="inlineStr">
        <is>
          <t>WEB-TP-251073</t>
        </is>
      </c>
      <c r="H9" t="inlineStr">
        <is>
          <t>2025-09-19</t>
        </is>
      </c>
      <c r="I9" t="n">
        <v>15.45</v>
      </c>
    </row>
    <row r="10">
      <c r="A10" t="inlineStr">
        <is>
          <t>EXTERNO</t>
        </is>
      </c>
      <c r="B10" t="inlineStr">
        <is>
          <t>PROVEEDORES EXTERNOS</t>
        </is>
      </c>
      <c r="C10" t="inlineStr">
        <is>
          <t>externos</t>
        </is>
      </c>
      <c r="D10" t="inlineStr">
        <is>
          <t>AYUDA</t>
        </is>
      </c>
      <c r="E10" t="inlineStr">
        <is>
          <t>SOFTWARE</t>
        </is>
      </c>
      <c r="F10" t="inlineStr">
        <is>
          <t>Servidor</t>
        </is>
      </c>
      <c r="G10" t="inlineStr">
        <is>
          <t>202784197236</t>
        </is>
      </c>
      <c r="H10" t="inlineStr">
        <is>
          <t>2025-09-25</t>
        </is>
      </c>
      <c r="I10" t="n">
        <v>14</v>
      </c>
    </row>
    <row r="11">
      <c r="A11" t="inlineStr">
        <is>
          <t>EXTERNO</t>
        </is>
      </c>
      <c r="B11" t="inlineStr">
        <is>
          <t>PROVEEDORES EXTERNOS</t>
        </is>
      </c>
      <c r="C11" t="inlineStr">
        <is>
          <t>externos</t>
        </is>
      </c>
      <c r="D11" t="inlineStr">
        <is>
          <t>APORTACION PROPIA</t>
        </is>
      </c>
      <c r="E11" t="inlineStr">
        <is>
          <t>ADMINISTRACION</t>
        </is>
      </c>
      <c r="F11" t="inlineStr">
        <is>
          <t>Teléfono</t>
        </is>
      </c>
      <c r="G11" t="inlineStr">
        <is>
          <t>FMPVAII004****</t>
        </is>
      </c>
      <c r="H11" t="inlineStr">
        <is>
          <t>2025-09-25</t>
        </is>
      </c>
      <c r="I11" t="n">
        <v>58.0646</v>
      </c>
    </row>
    <row r="12">
      <c r="A12" t="inlineStr">
        <is>
          <t>EXTERNO</t>
        </is>
      </c>
      <c r="B12" t="inlineStr">
        <is>
          <t>PROVEEDORES EXTERNOS</t>
        </is>
      </c>
      <c r="C12" t="inlineStr">
        <is>
          <t>externos</t>
        </is>
      </c>
      <c r="D12" t="inlineStr">
        <is>
          <t>APORTACION PROPIA</t>
        </is>
      </c>
      <c r="E12" t="inlineStr">
        <is>
          <t>ADMINISTRACION</t>
        </is>
      </c>
      <c r="F12" t="inlineStr">
        <is>
          <t>Teléfono</t>
        </is>
      </c>
      <c r="G12" t="inlineStr">
        <is>
          <t>MMPVAII001****</t>
        </is>
      </c>
      <c r="H12" t="inlineStr">
        <is>
          <t>2025-09-25</t>
        </is>
      </c>
      <c r="I12" t="n">
        <v>6.9869</v>
      </c>
    </row>
    <row r="13">
      <c r="A13" t="inlineStr">
        <is>
          <t>EXTERNO</t>
        </is>
      </c>
      <c r="B13" t="inlineStr">
        <is>
          <t>PROVEEDORES EXTERNOS</t>
        </is>
      </c>
      <c r="C13" t="inlineStr">
        <is>
          <t>externos</t>
        </is>
      </c>
      <c r="D13" t="inlineStr">
        <is>
          <t>AYUDA</t>
        </is>
      </c>
      <c r="E13" t="inlineStr">
        <is>
          <t>COMUNICACION</t>
        </is>
      </c>
      <c r="F13" t="inlineStr">
        <is>
          <t>BONTEC Soporte TV Ruedas para TVs 23 a 60 Pulgadas de LED, LCD, OLED Planos y Curvos, Soporte TV Móvil con Inclinables y Estante para Medios, hasta 25 kg, Máx. VESA 400x400mm | B0BNZXBGJ1</t>
        </is>
      </c>
      <c r="G13" t="inlineStr">
        <is>
          <t>DS-AEU-INV-ES-2025-91122014</t>
        </is>
      </c>
      <c r="H13" t="inlineStr">
        <is>
          <t>2025-09-23</t>
        </is>
      </c>
      <c r="I13" t="n">
        <v>35.53</v>
      </c>
    </row>
    <row r="14">
      <c r="A14" t="inlineStr">
        <is>
          <t>EXTERNO</t>
        </is>
      </c>
      <c r="B14" t="inlineStr">
        <is>
          <t>PROVEEDORES EXTERNOS</t>
        </is>
      </c>
      <c r="C14" t="inlineStr">
        <is>
          <t>externos</t>
        </is>
      </c>
      <c r="D14" t="inlineStr">
        <is>
          <t>AYUDA</t>
        </is>
      </c>
      <c r="E14" t="inlineStr">
        <is>
          <t>COMERCIALIZACION</t>
        </is>
      </c>
      <c r="F14" t="inlineStr">
        <is>
          <t>MERCARTES (comida)</t>
        </is>
      </c>
      <c r="G14" t="inlineStr">
        <is>
          <t>WEB-TP-251174</t>
        </is>
      </c>
      <c r="H14" t="inlineStr">
        <is>
          <t>2025-09-30</t>
        </is>
      </c>
      <c r="I14" t="n">
        <v>15.45</v>
      </c>
    </row>
    <row r="15">
      <c r="A15" t="inlineStr">
        <is>
          <t>EXTERNO</t>
        </is>
      </c>
      <c r="B15" t="inlineStr">
        <is>
          <t>PROVEEDORES EXTERNOS</t>
        </is>
      </c>
      <c r="C15" t="inlineStr">
        <is>
          <t>externos</t>
        </is>
      </c>
      <c r="D15" t="inlineStr">
        <is>
          <t>AYUDA</t>
        </is>
      </c>
      <c r="E15" t="inlineStr">
        <is>
          <t>COMERCIALIZACION</t>
        </is>
      </c>
      <c r="F15" t="inlineStr">
        <is>
          <t>FACTURA DEL BILLETE: 7290601903781 - 08178 - VALLADOLID-CAMPO GRANDE - MADRID-CHAMARTÍN-CLARA CA - F. VIAJE: 22-10-2025 - LOC: 2B6GGU</t>
        </is>
      </c>
      <c r="G15" t="inlineStr">
        <is>
          <t>VJ00000016362846</t>
        </is>
      </c>
      <c r="H15" t="inlineStr">
        <is>
          <t>2025-09-30</t>
        </is>
      </c>
      <c r="I15" t="n">
        <v>28.27</v>
      </c>
    </row>
    <row r="16">
      <c r="A16" t="inlineStr">
        <is>
          <t>EXTERNO</t>
        </is>
      </c>
      <c r="B16" t="inlineStr">
        <is>
          <t>PROVEEDORES EXTERNOS</t>
        </is>
      </c>
      <c r="C16" t="inlineStr">
        <is>
          <t>externos</t>
        </is>
      </c>
      <c r="D16" t="inlineStr">
        <is>
          <t>APORTACION PROPIA</t>
        </is>
      </c>
      <c r="E16" t="inlineStr">
        <is>
          <t>ADMINISTRACION</t>
        </is>
      </c>
      <c r="F16" t="inlineStr">
        <is>
          <t>Suministros</t>
        </is>
      </c>
      <c r="G16" t="inlineStr">
        <is>
          <t>FMPVAGI0013315</t>
        </is>
      </c>
      <c r="H16" t="inlineStr">
        <is>
          <t>2025-07-25</t>
        </is>
      </c>
      <c r="I16" t="n">
        <v>58.2644</v>
      </c>
    </row>
    <row r="17">
      <c r="A17" t="inlineStr">
        <is>
          <t>EXTERNO</t>
        </is>
      </c>
      <c r="B17" t="inlineStr">
        <is>
          <t>PROVEEDORES EXTERNOS</t>
        </is>
      </c>
      <c r="C17" t="inlineStr">
        <is>
          <t>externos</t>
        </is>
      </c>
      <c r="D17" t="inlineStr">
        <is>
          <t>APORTACION PROPIA</t>
        </is>
      </c>
      <c r="E17" t="inlineStr">
        <is>
          <t>ADMINISTRACION</t>
        </is>
      </c>
      <c r="F17" t="inlineStr">
        <is>
          <t>Suministros</t>
        </is>
      </c>
      <c r="G17" t="inlineStr">
        <is>
          <t>FMPVAHI0010009</t>
        </is>
      </c>
      <c r="H17" t="inlineStr">
        <is>
          <t>2025-08-25</t>
        </is>
      </c>
      <c r="I17" t="n">
        <v>58.8997</v>
      </c>
    </row>
    <row r="18">
      <c r="A18" t="inlineStr">
        <is>
          <t>EXTERNO</t>
        </is>
      </c>
      <c r="B18" t="inlineStr">
        <is>
          <t>PROVEEDORES EXTERNOS</t>
        </is>
      </c>
      <c r="C18" t="inlineStr">
        <is>
          <t>externos</t>
        </is>
      </c>
      <c r="D18" t="inlineStr">
        <is>
          <t>APORTACION PROPIA</t>
        </is>
      </c>
      <c r="E18" t="inlineStr">
        <is>
          <t>ADMINISTRACION</t>
        </is>
      </c>
      <c r="F18" t="inlineStr">
        <is>
          <t>Suministros</t>
        </is>
      </c>
      <c r="G18" t="inlineStr">
        <is>
          <t>MMPVAGI0016002</t>
        </is>
      </c>
      <c r="H18" t="inlineStr">
        <is>
          <t>2025-07-25</t>
        </is>
      </c>
      <c r="I18" t="n">
        <v>6.6116</v>
      </c>
    </row>
    <row r="19">
      <c r="A19" t="inlineStr">
        <is>
          <t>EXTERNO</t>
        </is>
      </c>
      <c r="B19" t="inlineStr">
        <is>
          <t>PROVEEDORES EXTERNOS</t>
        </is>
      </c>
      <c r="C19" t="inlineStr">
        <is>
          <t>externos</t>
        </is>
      </c>
      <c r="D19" t="inlineStr">
        <is>
          <t>APORTACION PROPIA</t>
        </is>
      </c>
      <c r="E19" t="inlineStr">
        <is>
          <t>ADMINISTRACION</t>
        </is>
      </c>
      <c r="F19" t="inlineStr">
        <is>
          <t>Suministros</t>
        </is>
      </c>
      <c r="G19" t="inlineStr">
        <is>
          <t>MMPVAHI0004037</t>
        </is>
      </c>
      <c r="H19" t="inlineStr">
        <is>
          <t>2025-08-25</t>
        </is>
      </c>
      <c r="I19" t="n">
        <v>6.6116</v>
      </c>
    </row>
    <row r="20">
      <c r="A20" t="inlineStr">
        <is>
          <t>EXTERNO</t>
        </is>
      </c>
      <c r="B20" t="inlineStr">
        <is>
          <t>PROVEEDORES EXTERNOS</t>
        </is>
      </c>
      <c r="C20" t="inlineStr">
        <is>
          <t>externos</t>
        </is>
      </c>
      <c r="D20" t="inlineStr">
        <is>
          <t>AYUDA</t>
        </is>
      </c>
      <c r="E20" t="inlineStr">
        <is>
          <t>COMUNICACION</t>
        </is>
      </c>
      <c r="F20" t="inlineStr">
        <is>
          <t>Fabrisa Rollo Papel Kraft 1X10MTS</t>
        </is>
      </c>
      <c r="G20" t="inlineStr">
        <is>
          <t>F2022265</t>
        </is>
      </c>
      <c r="H20" t="inlineStr">
        <is>
          <t>2025-10-07</t>
        </is>
      </c>
      <c r="I20" t="n">
        <v>6.05</v>
      </c>
    </row>
    <row r="21">
      <c r="A21" t="inlineStr">
        <is>
          <t>EXTERNO</t>
        </is>
      </c>
      <c r="B21" t="inlineStr">
        <is>
          <t>PROVEEDORES EXTERNOS</t>
        </is>
      </c>
      <c r="C21" t="inlineStr">
        <is>
          <t>externos</t>
        </is>
      </c>
      <c r="D21" t="inlineStr">
        <is>
          <t>AYUDA</t>
        </is>
      </c>
      <c r="E21" t="inlineStr">
        <is>
          <t>COMERCIALIZACION</t>
        </is>
      </c>
      <c r="F21" t="inlineStr">
        <is>
          <t>Aceso Wifi Monopuesto</t>
        </is>
      </c>
      <c r="G21" t="inlineStr">
        <is>
          <t>E000629</t>
        </is>
      </c>
      <c r="H21" t="inlineStr">
        <is>
          <t>2025-09-30</t>
        </is>
      </c>
      <c r="I21" t="n">
        <v>60</v>
      </c>
    </row>
    <row r="22">
      <c r="A22" t="inlineStr">
        <is>
          <t>EXTERNO</t>
        </is>
      </c>
      <c r="B22" t="inlineStr">
        <is>
          <t>PROVEEDORES EXTERNOS</t>
        </is>
      </c>
      <c r="C22" t="inlineStr">
        <is>
          <t>externos</t>
        </is>
      </c>
      <c r="D22" t="inlineStr">
        <is>
          <t>AYUDA</t>
        </is>
      </c>
      <c r="E22" t="inlineStr">
        <is>
          <t>COMUNICACION</t>
        </is>
      </c>
      <c r="F22" t="inlineStr">
        <is>
          <t>Impresión</t>
        </is>
      </c>
      <c r="G22" t="inlineStr">
        <is>
          <t>219-2025</t>
        </is>
      </c>
      <c r="H22" t="inlineStr">
        <is>
          <t>2025-10-09</t>
        </is>
      </c>
      <c r="I22" t="n">
        <v>310</v>
      </c>
    </row>
    <row r="23">
      <c r="A23" t="inlineStr">
        <is>
          <t>EXTERNO</t>
        </is>
      </c>
      <c r="B23" t="inlineStr">
        <is>
          <t>PROVEEDORES EXTERNOS</t>
        </is>
      </c>
      <c r="C23" t="inlineStr">
        <is>
          <t>externos</t>
        </is>
      </c>
      <c r="D23" t="inlineStr">
        <is>
          <t>AYUDA</t>
        </is>
      </c>
      <c r="E23" t="inlineStr">
        <is>
          <t>COMUNICACION</t>
        </is>
      </c>
      <c r="F23" t="inlineStr">
        <is>
          <t>Compras</t>
        </is>
      </c>
      <c r="G23" t="inlineStr">
        <is>
          <t>2025101599</t>
        </is>
      </c>
      <c r="H23" t="inlineStr">
        <is>
          <t>2025-10-19</t>
        </is>
      </c>
      <c r="I23" t="n">
        <v>15.53</v>
      </c>
    </row>
    <row r="24">
      <c r="A24" t="inlineStr">
        <is>
          <t>EXTERNO</t>
        </is>
      </c>
      <c r="B24" t="inlineStr">
        <is>
          <t>PROVEEDORES EXTERNOS</t>
        </is>
      </c>
      <c r="C24" t="inlineStr">
        <is>
          <t>externos</t>
        </is>
      </c>
      <c r="D24" t="inlineStr">
        <is>
          <t>AYUDA</t>
        </is>
      </c>
      <c r="E24" t="inlineStr">
        <is>
          <t>COMERCIALIZACION</t>
        </is>
      </c>
      <c r="F24" t="inlineStr">
        <is>
          <t>Gasolina</t>
        </is>
      </c>
      <c r="G24" t="inlineStr">
        <is>
          <t>802817-90293</t>
        </is>
      </c>
      <c r="H24" t="inlineStr">
        <is>
          <t>2025-10-20</t>
        </is>
      </c>
      <c r="I24" t="n">
        <v>50.14</v>
      </c>
    </row>
    <row r="25">
      <c r="A25" t="inlineStr">
        <is>
          <t>EXTERNO</t>
        </is>
      </c>
      <c r="B25" t="inlineStr">
        <is>
          <t>PROVEEDORES EXTERNOS</t>
        </is>
      </c>
      <c r="C25" t="inlineStr">
        <is>
          <t>externos</t>
        </is>
      </c>
      <c r="D25" t="inlineStr">
        <is>
          <t>AYUDA</t>
        </is>
      </c>
      <c r="E25" t="inlineStr">
        <is>
          <t>COMUNICACION</t>
        </is>
      </c>
      <c r="F25" t="inlineStr">
        <is>
          <t>Compres</t>
        </is>
      </c>
      <c r="G25" t="inlineStr">
        <is>
          <t>A-V2025-00005238950</t>
        </is>
      </c>
      <c r="H25" t="inlineStr">
        <is>
          <t>2025-10-20</t>
        </is>
      </c>
      <c r="I25" t="n">
        <v>14.56</v>
      </c>
    </row>
    <row r="26">
      <c r="A26" t="inlineStr">
        <is>
          <t>EXTERNO</t>
        </is>
      </c>
      <c r="B26" t="inlineStr">
        <is>
          <t>PROVEEDORES EXTERNOS</t>
        </is>
      </c>
      <c r="C26" t="inlineStr">
        <is>
          <t>externos</t>
        </is>
      </c>
      <c r="D26" t="inlineStr">
        <is>
          <t>AYUDA</t>
        </is>
      </c>
      <c r="E26" t="inlineStr">
        <is>
          <t>COMERCIALIZACION</t>
        </is>
      </c>
      <c r="F26" t="inlineStr">
        <is>
          <t>Desayuno</t>
        </is>
      </c>
      <c r="G26" t="inlineStr">
        <is>
          <t>RVA/74241</t>
        </is>
      </c>
      <c r="H26" t="inlineStr">
        <is>
          <t>2025-10-21</t>
        </is>
      </c>
      <c r="I26" t="n">
        <v>8.449999999999999</v>
      </c>
    </row>
    <row r="27">
      <c r="A27" t="inlineStr">
        <is>
          <t>EXTERNO</t>
        </is>
      </c>
      <c r="B27" t="inlineStr">
        <is>
          <t>PROVEEDORES EXTERNOS</t>
        </is>
      </c>
      <c r="C27" t="inlineStr">
        <is>
          <t>externos</t>
        </is>
      </c>
      <c r="D27" t="inlineStr">
        <is>
          <t>APORTACION PROPIA</t>
        </is>
      </c>
      <c r="E27" t="inlineStr">
        <is>
          <t>ADMINISTRACION</t>
        </is>
      </c>
      <c r="F27" t="inlineStr">
        <is>
          <t>Suministros</t>
        </is>
      </c>
      <c r="G27" t="inlineStr">
        <is>
          <t>FMPVAJI006****</t>
        </is>
      </c>
      <c r="H27" t="inlineStr">
        <is>
          <t>2025-10-23</t>
        </is>
      </c>
      <c r="I27" t="n">
        <v>144.82</v>
      </c>
    </row>
    <row r="28">
      <c r="A28" t="inlineStr">
        <is>
          <t>EXTERNO</t>
        </is>
      </c>
      <c r="B28" t="inlineStr">
        <is>
          <t>PROVEEDORES EXTERNOS</t>
        </is>
      </c>
      <c r="C28" t="inlineStr">
        <is>
          <t>externos</t>
        </is>
      </c>
      <c r="D28" t="inlineStr">
        <is>
          <t>APORTACION PROPIA</t>
        </is>
      </c>
      <c r="E28" t="inlineStr">
        <is>
          <t>ADMINISTRACION</t>
        </is>
      </c>
      <c r="F28" t="inlineStr">
        <is>
          <t>Suministros</t>
        </is>
      </c>
      <c r="G28" t="inlineStr">
        <is>
          <t>MMPVAJI002****</t>
        </is>
      </c>
      <c r="H28" t="inlineStr">
        <is>
          <t>2025-10-23</t>
        </is>
      </c>
      <c r="I28" t="n">
        <v>6.6116</v>
      </c>
    </row>
    <row r="29">
      <c r="A29" t="inlineStr">
        <is>
          <t>EXTERNO</t>
        </is>
      </c>
      <c r="B29" t="inlineStr">
        <is>
          <t>PROVEEDORES EXTERNOS</t>
        </is>
      </c>
      <c r="C29" t="inlineStr">
        <is>
          <t>externos</t>
        </is>
      </c>
      <c r="D29" t="inlineStr">
        <is>
          <t>AYUDA</t>
        </is>
      </c>
      <c r="E29" t="inlineStr">
        <is>
          <t>COMERCIALIZACION</t>
        </is>
      </c>
      <c r="F29" t="inlineStr">
        <is>
          <t>Cena</t>
        </is>
      </c>
      <c r="G29" t="inlineStr">
        <is>
          <t>10A</t>
        </is>
      </c>
      <c r="H29" t="inlineStr">
        <is>
          <t>2025-10-22</t>
        </is>
      </c>
      <c r="I29" t="n">
        <v>15</v>
      </c>
    </row>
    <row r="30">
      <c r="A30" t="inlineStr">
        <is>
          <t>EXTERNO</t>
        </is>
      </c>
      <c r="B30" t="inlineStr">
        <is>
          <t>PROVEEDORES EXTERNOS</t>
        </is>
      </c>
      <c r="C30" t="inlineStr">
        <is>
          <t>externos</t>
        </is>
      </c>
      <c r="D30" t="inlineStr">
        <is>
          <t>AYUDA</t>
        </is>
      </c>
      <c r="E30" t="inlineStr">
        <is>
          <t>LEGAL</t>
        </is>
      </c>
      <c r="F30" t="inlineStr">
        <is>
          <t>RGPD: Adecuación para Empresas hasta 5 trab.</t>
        </is>
      </c>
      <c r="G30" t="inlineStr">
        <is>
          <t>6C583135656E4F4B6D486C3264773D3D</t>
        </is>
      </c>
      <c r="H30" t="inlineStr">
        <is>
          <t>2025-10-14</t>
        </is>
      </c>
      <c r="I30" t="n">
        <v>173.79</v>
      </c>
    </row>
    <row r="31">
      <c r="A31" t="inlineStr">
        <is>
          <t>EXTERNO</t>
        </is>
      </c>
      <c r="B31" t="inlineStr">
        <is>
          <t>PROVEEDORES EXTERNOS</t>
        </is>
      </c>
      <c r="C31" t="inlineStr">
        <is>
          <t>externos</t>
        </is>
      </c>
      <c r="D31" t="inlineStr">
        <is>
          <t>AYUDA</t>
        </is>
      </c>
      <c r="E31" t="inlineStr">
        <is>
          <t>COMUNICACION</t>
        </is>
      </c>
      <c r="F31" t="inlineStr">
        <is>
          <t>BASE 5 TOMA CON CABLE 2M</t>
        </is>
      </c>
      <c r="G31" t="inlineStr">
        <is>
          <t>FACT-001952</t>
        </is>
      </c>
      <c r="H31" t="inlineStr">
        <is>
          <t>2025-10-20</t>
        </is>
      </c>
      <c r="I31" t="n">
        <v>10.3306</v>
      </c>
    </row>
    <row r="32">
      <c r="A32" t="inlineStr">
        <is>
          <t>EXTERNO</t>
        </is>
      </c>
      <c r="B32" t="inlineStr">
        <is>
          <t>PROVEEDORES EXTERNOS</t>
        </is>
      </c>
      <c r="C32" t="inlineStr">
        <is>
          <t>externos</t>
        </is>
      </c>
      <c r="D32" t="inlineStr">
        <is>
          <t>AYUDA</t>
        </is>
      </c>
      <c r="E32" t="inlineStr">
        <is>
          <t>COMERCIALIZACION</t>
        </is>
      </c>
      <c r="F32" t="inlineStr">
        <is>
          <t>FACTURA DEL BILLETE: 7773201905785 - 04091 - MADRID-CHAMARTÍN-CLARA CA - VALLADOLID-CAMPO GRANDE - F. VIAJE: 21-10-2025 - LOC: UU8S7S</t>
        </is>
      </c>
      <c r="G32" t="inlineStr">
        <is>
          <t>VJ00000016470244</t>
        </is>
      </c>
      <c r="H32" t="inlineStr">
        <is>
          <t>2025-10-20</t>
        </is>
      </c>
      <c r="I32" t="n">
        <v>27.09</v>
      </c>
    </row>
    <row r="33">
      <c r="A33" t="inlineStr">
        <is>
          <t>EXTERNO</t>
        </is>
      </c>
      <c r="B33" t="inlineStr">
        <is>
          <t>PROVEEDORES EXTERNOS</t>
        </is>
      </c>
      <c r="C33" t="inlineStr">
        <is>
          <t>externos</t>
        </is>
      </c>
      <c r="D33" t="inlineStr">
        <is>
          <t>AYUDA</t>
        </is>
      </c>
      <c r="E33" t="inlineStr">
        <is>
          <t>COMERCIALIZACION</t>
        </is>
      </c>
      <c r="F33" t="inlineStr">
        <is>
          <t>Cena 21/10/2025</t>
        </is>
      </c>
      <c r="G33" t="inlineStr">
        <is>
          <t>F09-71</t>
        </is>
      </c>
      <c r="H33" t="inlineStr">
        <is>
          <t>2025-10-21</t>
        </is>
      </c>
      <c r="I33" t="n">
        <v>47.73</v>
      </c>
    </row>
    <row r="34">
      <c r="A34" t="inlineStr">
        <is>
          <t>EXTERNO</t>
        </is>
      </c>
      <c r="B34" t="inlineStr">
        <is>
          <t>PROVEEDORES EXTERNOS</t>
        </is>
      </c>
      <c r="C34" t="inlineStr">
        <is>
          <t>externos</t>
        </is>
      </c>
      <c r="D34" t="inlineStr">
        <is>
          <t>AYUDA</t>
        </is>
      </c>
      <c r="E34" t="inlineStr">
        <is>
          <t>COMERCIALIZACION</t>
        </is>
      </c>
      <c r="F34" t="inlineStr">
        <is>
          <t>Comida María 22/10</t>
        </is>
      </c>
      <c r="G34" t="inlineStr">
        <is>
          <t>T-10742</t>
        </is>
      </c>
      <c r="H34" t="inlineStr">
        <is>
          <t>2025-10-22</t>
        </is>
      </c>
      <c r="I34" t="n">
        <v>18.41</v>
      </c>
    </row>
    <row r="35">
      <c r="A35" t="inlineStr">
        <is>
          <t>EXTERNO</t>
        </is>
      </c>
      <c r="B35" t="inlineStr">
        <is>
          <t>PROVEEDORES EXTERNOS</t>
        </is>
      </c>
      <c r="C35" t="inlineStr">
        <is>
          <t>externos</t>
        </is>
      </c>
      <c r="D35" t="inlineStr">
        <is>
          <t>AYUDA</t>
        </is>
      </c>
      <c r="E35" t="inlineStr">
        <is>
          <t>SOFTWARE</t>
        </is>
      </c>
      <c r="F35" t="inlineStr">
        <is>
          <t>Servidor</t>
        </is>
      </c>
      <c r="G35" t="inlineStr">
        <is>
          <t>202784490445</t>
        </is>
      </c>
      <c r="H35" t="inlineStr">
        <is>
          <t>2025-10-25</t>
        </is>
      </c>
      <c r="I35" t="n">
        <v>17.83</v>
      </c>
    </row>
    <row r="36">
      <c r="A36" t="inlineStr">
        <is>
          <t>EXTERNO</t>
        </is>
      </c>
      <c r="B36" t="inlineStr">
        <is>
          <t>PROVEEDORES EXTERNOS</t>
        </is>
      </c>
      <c r="C36" t="inlineStr">
        <is>
          <t>externos</t>
        </is>
      </c>
      <c r="D36" t="inlineStr">
        <is>
          <t>AYUDA</t>
        </is>
      </c>
      <c r="E36" t="inlineStr">
        <is>
          <t>COMERCIALIZACION</t>
        </is>
      </c>
      <c r="F36" t="inlineStr">
        <is>
          <t>Apartamento Valladolid</t>
        </is>
      </c>
      <c r="G36" t="inlineStr">
        <is>
          <t>2847</t>
        </is>
      </c>
      <c r="H36" t="inlineStr">
        <is>
          <t>2025-10-25</t>
        </is>
      </c>
      <c r="I36" t="n">
        <v>192</v>
      </c>
    </row>
    <row r="37">
      <c r="A37" t="inlineStr">
        <is>
          <t>EXTERNO</t>
        </is>
      </c>
      <c r="B37" t="inlineStr">
        <is>
          <t>PROVEEDORES EXTERNOS</t>
        </is>
      </c>
      <c r="C37" t="inlineStr">
        <is>
          <t>externos</t>
        </is>
      </c>
      <c r="D37" t="inlineStr">
        <is>
          <t>AYUDA</t>
        </is>
      </c>
      <c r="E37" t="inlineStr">
        <is>
          <t>COMUNICACION</t>
        </is>
      </c>
      <c r="F37" t="inlineStr">
        <is>
          <t>Honorarios por activación del stand de EnGira en Feria Mercartes el 22 de octubre con “100 cosas que hacer hoy mejor que ver este espectáculo”.</t>
        </is>
      </c>
      <c r="G37" t="inlineStr">
        <is>
          <t>5</t>
        </is>
      </c>
      <c r="H37" t="inlineStr">
        <is>
          <t>2025-10-10</t>
        </is>
      </c>
      <c r="I37" t="n">
        <v>300</v>
      </c>
    </row>
    <row r="38">
      <c r="A38" t="inlineStr">
        <is>
          <t>EXTERNO</t>
        </is>
      </c>
      <c r="B38" t="inlineStr">
        <is>
          <t>PROVEEDORES EXTERNOS</t>
        </is>
      </c>
      <c r="C38" t="inlineStr">
        <is>
          <t>externos</t>
        </is>
      </c>
      <c r="D38" t="inlineStr">
        <is>
          <t>APORTACION PROPIA</t>
        </is>
      </c>
      <c r="E38" t="inlineStr">
        <is>
          <t>GESTORIA</t>
        </is>
      </c>
      <c r="F38" t="inlineStr">
        <is>
          <t>Riesgos laborales</t>
        </is>
      </c>
      <c r="G38" t="inlineStr">
        <is>
          <t>25032622-R</t>
        </is>
      </c>
      <c r="H38" t="inlineStr">
        <is>
          <t>2025-10-27</t>
        </is>
      </c>
      <c r="I38" t="n">
        <v>222</v>
      </c>
    </row>
    <row r="39">
      <c r="A39" t="inlineStr">
        <is>
          <t>EXTERNO</t>
        </is>
      </c>
      <c r="B39" t="inlineStr">
        <is>
          <t>PROVEEDORES EXTERNOS</t>
        </is>
      </c>
      <c r="C39" t="inlineStr">
        <is>
          <t>externos</t>
        </is>
      </c>
      <c r="D39" t="inlineStr">
        <is>
          <t>APORTACION PROPIA</t>
        </is>
      </c>
      <c r="E39" t="inlineStr">
        <is>
          <t>ALIANZAS ESTRATEGICAS</t>
        </is>
      </c>
      <c r="F39" t="inlineStr">
        <is>
          <t>Alojamiento TA</t>
        </is>
      </c>
      <c r="G39" t="inlineStr">
        <is>
          <t>2504602</t>
        </is>
      </c>
      <c r="H39" t="inlineStr">
        <is>
          <t>2025-11-23</t>
        </is>
      </c>
      <c r="I39" t="n">
        <v>79.95</v>
      </c>
    </row>
    <row r="40">
      <c r="A40" t="inlineStr">
        <is>
          <t>EXTERNO</t>
        </is>
      </c>
      <c r="B40" t="inlineStr">
        <is>
          <t>PROVEEDORES EXTERNOS</t>
        </is>
      </c>
      <c r="C40" t="inlineStr">
        <is>
          <t>externos</t>
        </is>
      </c>
      <c r="D40" t="inlineStr">
        <is>
          <t>APORTACION PROPIA</t>
        </is>
      </c>
      <c r="E40" t="inlineStr">
        <is>
          <t>ALIANZAS ESTRATEGICAS</t>
        </is>
      </c>
      <c r="F40" t="inlineStr">
        <is>
          <t>Viaje TA</t>
        </is>
      </c>
      <c r="G40" t="inlineStr">
        <is>
          <t>VJ00000016527930</t>
        </is>
      </c>
      <c r="H40" t="inlineStr">
        <is>
          <t>2025-11-03</t>
        </is>
      </c>
      <c r="I40" t="n">
        <v>79.41</v>
      </c>
    </row>
    <row r="41">
      <c r="A41" t="inlineStr">
        <is>
          <t>EXTERNO</t>
        </is>
      </c>
      <c r="B41" t="inlineStr">
        <is>
          <t>PROVEEDORES EXTERNOS</t>
        </is>
      </c>
      <c r="C41" t="inlineStr">
        <is>
          <t>externos</t>
        </is>
      </c>
      <c r="D41" t="inlineStr">
        <is>
          <t>APORTACION PROPIA</t>
        </is>
      </c>
      <c r="E41" t="inlineStr">
        <is>
          <t>ALIANZAS ESTRATEGICAS</t>
        </is>
      </c>
      <c r="F41" t="inlineStr">
        <is>
          <t>Viaje TA</t>
        </is>
      </c>
      <c r="G41" t="inlineStr">
        <is>
          <t>VJ00000016527931</t>
        </is>
      </c>
      <c r="H41" t="inlineStr">
        <is>
          <t>2025-11-03</t>
        </is>
      </c>
      <c r="I41" t="n">
        <v>94</v>
      </c>
    </row>
    <row r="42">
      <c r="A42" t="inlineStr">
        <is>
          <t>EXTERNO</t>
        </is>
      </c>
      <c r="B42" t="inlineStr">
        <is>
          <t>PROVEEDORES EXTERNOS</t>
        </is>
      </c>
      <c r="C42" t="inlineStr">
        <is>
          <t>externos</t>
        </is>
      </c>
      <c r="D42" t="inlineStr">
        <is>
          <t>AYUDA</t>
        </is>
      </c>
      <c r="E42" t="inlineStr">
        <is>
          <t>ALIANZAS ESTRATEGICAS</t>
        </is>
      </c>
      <c r="F42" t="inlineStr">
        <is>
          <t>Programas acompañamiento</t>
        </is>
      </c>
      <c r="G42" t="inlineStr"/>
      <c r="H42" t="inlineStr">
        <is>
          <t>2025-11-27</t>
        </is>
      </c>
      <c r="I42" t="n">
        <v>4000</v>
      </c>
    </row>
    <row r="43">
      <c r="A43" t="inlineStr">
        <is>
          <t>EXTERNO</t>
        </is>
      </c>
      <c r="B43" t="inlineStr">
        <is>
          <t>PROVEEDORES EXTERNOS</t>
        </is>
      </c>
      <c r="C43" t="inlineStr">
        <is>
          <t>externos</t>
        </is>
      </c>
      <c r="D43" t="inlineStr">
        <is>
          <t>APORTACION PROPIA</t>
        </is>
      </c>
      <c r="E43" t="inlineStr">
        <is>
          <t>GESTORIA</t>
        </is>
      </c>
      <c r="F43" t="inlineStr">
        <is>
          <t>Gestoria</t>
        </is>
      </c>
      <c r="G43" t="inlineStr">
        <is>
          <t>2501006</t>
        </is>
      </c>
      <c r="H43" t="inlineStr">
        <is>
          <t>2025-12-19</t>
        </is>
      </c>
      <c r="I43" t="n">
        <v>350</v>
      </c>
    </row>
    <row r="44">
      <c r="A44" t="inlineStr">
        <is>
          <t>EXTERNO</t>
        </is>
      </c>
      <c r="B44" t="inlineStr">
        <is>
          <t>PROVEEDORES EXTERNOS</t>
        </is>
      </c>
      <c r="C44" t="inlineStr">
        <is>
          <t>externos</t>
        </is>
      </c>
      <c r="D44" t="inlineStr">
        <is>
          <t>AYUDA</t>
        </is>
      </c>
      <c r="E44" t="inlineStr">
        <is>
          <t>COMUNICACION</t>
        </is>
      </c>
      <c r="F44" t="inlineStr">
        <is>
          <t>Publicidad IG</t>
        </is>
      </c>
      <c r="G44" t="inlineStr">
        <is>
          <t>‭682053251052‬</t>
        </is>
      </c>
      <c r="H44" t="inlineStr">
        <is>
          <t>2025-11-23</t>
        </is>
      </c>
      <c r="I44" t="n">
        <v>12.91</v>
      </c>
    </row>
    <row r="45">
      <c r="A45" t="inlineStr">
        <is>
          <t>EXTERNO</t>
        </is>
      </c>
      <c r="B45" t="inlineStr">
        <is>
          <t>PROVEEDORES EXTERNOS</t>
        </is>
      </c>
      <c r="C45" t="inlineStr">
        <is>
          <t>externos</t>
        </is>
      </c>
      <c r="D45" t="inlineStr">
        <is>
          <t>AYUDA</t>
        </is>
      </c>
      <c r="E45" t="inlineStr">
        <is>
          <t>SOFTWARE</t>
        </is>
      </c>
      <c r="F45" t="inlineStr">
        <is>
          <t>Servidor</t>
        </is>
      </c>
      <c r="G45" t="inlineStr">
        <is>
          <t>202784784857</t>
        </is>
      </c>
      <c r="H45" t="inlineStr">
        <is>
          <t>2025-11-25</t>
        </is>
      </c>
      <c r="I45" t="n">
        <v>19</v>
      </c>
    </row>
    <row r="46">
      <c r="A46" t="inlineStr">
        <is>
          <t>EXTERNO</t>
        </is>
      </c>
      <c r="B46" t="inlineStr">
        <is>
          <t>PROVEEDORES EXTERNOS</t>
        </is>
      </c>
      <c r="C46" t="inlineStr">
        <is>
          <t>externos</t>
        </is>
      </c>
      <c r="D46" t="inlineStr">
        <is>
          <t>AYUDA</t>
        </is>
      </c>
      <c r="E46" t="inlineStr">
        <is>
          <t>SOFTWARE</t>
        </is>
      </c>
      <c r="F46" t="inlineStr">
        <is>
          <t>Servidor</t>
        </is>
      </c>
      <c r="G46" t="inlineStr">
        <is>
          <t>202785076764</t>
        </is>
      </c>
      <c r="H46" t="inlineStr">
        <is>
          <t>2025-12-25</t>
        </is>
      </c>
      <c r="I46" t="n">
        <v>19</v>
      </c>
    </row>
    <row r="47">
      <c r="A47" t="inlineStr">
        <is>
          <t>EXTERNO</t>
        </is>
      </c>
      <c r="B47" t="inlineStr">
        <is>
          <t>PROVEEDORES EXTERNOS</t>
        </is>
      </c>
      <c r="C47" t="inlineStr">
        <is>
          <t>externos</t>
        </is>
      </c>
      <c r="D47" t="inlineStr">
        <is>
          <t>AYUDA</t>
        </is>
      </c>
      <c r="E47" t="inlineStr">
        <is>
          <t>SOFTWARE</t>
        </is>
      </c>
      <c r="F47" t="inlineStr">
        <is>
          <t>Mantenimiento técnico plataforma enGira!</t>
        </is>
      </c>
      <c r="G47" t="inlineStr">
        <is>
          <t>23/2025</t>
        </is>
      </c>
      <c r="H47" t="inlineStr">
        <is>
          <t>2025-12-18</t>
        </is>
      </c>
      <c r="I47" t="n">
        <v>480</v>
      </c>
    </row>
    <row r="48">
      <c r="A48" t="inlineStr">
        <is>
          <t>EXTERNO</t>
        </is>
      </c>
      <c r="B48" t="inlineStr">
        <is>
          <t>PROVEEDORES EXTERNOS</t>
        </is>
      </c>
      <c r="C48" t="inlineStr">
        <is>
          <t>externos</t>
        </is>
      </c>
      <c r="D48" t="inlineStr">
        <is>
          <t>AYUDA</t>
        </is>
      </c>
      <c r="E48" t="inlineStr">
        <is>
          <t>FORMACION</t>
        </is>
      </c>
      <c r="F48" t="inlineStr">
        <is>
          <t>Bootcamp Data Analytics</t>
        </is>
      </c>
      <c r="G48" t="inlineStr">
        <is>
          <t>250217</t>
        </is>
      </c>
      <c r="H48" t="inlineStr">
        <is>
          <t>2025-12-02</t>
        </is>
      </c>
      <c r="I48" t="n">
        <v>3650</v>
      </c>
    </row>
    <row r="49">
      <c r="A49" t="inlineStr">
        <is>
          <t>EXTERNO</t>
        </is>
      </c>
      <c r="B49" t="inlineStr">
        <is>
          <t>PROVEEDORES EXTERNOS</t>
        </is>
      </c>
      <c r="C49" t="inlineStr">
        <is>
          <t>externos</t>
        </is>
      </c>
      <c r="D49" t="inlineStr">
        <is>
          <t>APORTACION PROPIA</t>
        </is>
      </c>
      <c r="E49" t="inlineStr">
        <is>
          <t>ADMINISTRACION</t>
        </is>
      </c>
      <c r="F49" t="inlineStr">
        <is>
          <t>Teléfono/Internet</t>
        </is>
      </c>
      <c r="G49" t="inlineStr">
        <is>
          <t>FMPVAKI003****</t>
        </is>
      </c>
      <c r="H49" t="inlineStr">
        <is>
          <t>2025-11-25</t>
        </is>
      </c>
      <c r="I49" t="n">
        <v>56.1</v>
      </c>
    </row>
    <row r="50">
      <c r="A50" t="inlineStr">
        <is>
          <t>EXTERNO</t>
        </is>
      </c>
      <c r="B50" t="inlineStr">
        <is>
          <t>PROVEEDORES EXTERNOS</t>
        </is>
      </c>
      <c r="C50" t="inlineStr">
        <is>
          <t>externos</t>
        </is>
      </c>
      <c r="D50" t="inlineStr">
        <is>
          <t>APORTACION PROPIA</t>
        </is>
      </c>
      <c r="E50" t="inlineStr">
        <is>
          <t>ADMINISTRACION</t>
        </is>
      </c>
      <c r="F50" t="inlineStr">
        <is>
          <t>Teléfono/Internet</t>
        </is>
      </c>
      <c r="G50" t="inlineStr">
        <is>
          <t>FMPVALI001****</t>
        </is>
      </c>
      <c r="H50" t="inlineStr">
        <is>
          <t>2025-12-25</t>
        </is>
      </c>
      <c r="I50" t="n">
        <v>52.06</v>
      </c>
    </row>
    <row r="51">
      <c r="A51" t="inlineStr">
        <is>
          <t>EXTERNO</t>
        </is>
      </c>
      <c r="B51" t="inlineStr">
        <is>
          <t>PROVEEDORES EXTERNOS</t>
        </is>
      </c>
      <c r="C51" t="inlineStr">
        <is>
          <t>externos</t>
        </is>
      </c>
      <c r="D51" t="inlineStr">
        <is>
          <t>APORTACION PROPIA</t>
        </is>
      </c>
      <c r="E51" t="inlineStr">
        <is>
          <t>ADMINISTRACION</t>
        </is>
      </c>
      <c r="F51" t="inlineStr">
        <is>
          <t>Teléfono/Internet</t>
        </is>
      </c>
      <c r="G51" t="inlineStr">
        <is>
          <t>MMPVAKI001****</t>
        </is>
      </c>
      <c r="H51" t="inlineStr">
        <is>
          <t>2025-11-25</t>
        </is>
      </c>
      <c r="I51" t="n">
        <v>6.61</v>
      </c>
    </row>
    <row r="52">
      <c r="A52" t="inlineStr">
        <is>
          <t>EXTERNO</t>
        </is>
      </c>
      <c r="B52" t="inlineStr">
        <is>
          <t>PROVEEDORES EXTERNOS</t>
        </is>
      </c>
      <c r="C52" t="inlineStr">
        <is>
          <t>externos</t>
        </is>
      </c>
      <c r="D52" t="inlineStr">
        <is>
          <t>APORTACION PROPIA</t>
        </is>
      </c>
      <c r="E52" t="inlineStr">
        <is>
          <t>ADMINISTRACION</t>
        </is>
      </c>
      <c r="F52" t="inlineStr">
        <is>
          <t>Teléfono/Internet</t>
        </is>
      </c>
      <c r="G52" t="inlineStr">
        <is>
          <t>MMPVALI001****</t>
        </is>
      </c>
      <c r="H52" t="inlineStr">
        <is>
          <t>2025-12-25</t>
        </is>
      </c>
      <c r="I52" t="n">
        <v>7.43</v>
      </c>
    </row>
    <row r="53">
      <c r="A53" t="inlineStr">
        <is>
          <t>EXTERNO</t>
        </is>
      </c>
      <c r="B53" t="inlineStr">
        <is>
          <t>PROVEEDORES EXTERNOS</t>
        </is>
      </c>
      <c r="C53" t="inlineStr">
        <is>
          <t>externos</t>
        </is>
      </c>
      <c r="D53" t="inlineStr">
        <is>
          <t>AYUDA</t>
        </is>
      </c>
      <c r="E53" t="inlineStr">
        <is>
          <t>COMUNICACION</t>
        </is>
      </c>
      <c r="F53" t="inlineStr">
        <is>
          <t>soporte webinar</t>
        </is>
      </c>
      <c r="G53" t="inlineStr">
        <is>
          <t>INV328281907</t>
        </is>
      </c>
      <c r="H53" t="inlineStr">
        <is>
          <t>2025-11-03</t>
        </is>
      </c>
      <c r="I53" t="n">
        <v>97.98999999999999</v>
      </c>
    </row>
    <row r="54">
      <c r="A54" t="inlineStr">
        <is>
          <t>EXTERNO</t>
        </is>
      </c>
      <c r="B54" t="inlineStr">
        <is>
          <t>PROVEEDORES EXTERNOS</t>
        </is>
      </c>
      <c r="C54" t="inlineStr">
        <is>
          <t>externos</t>
        </is>
      </c>
      <c r="D54" t="inlineStr">
        <is>
          <t>APORTACION PROPIA</t>
        </is>
      </c>
      <c r="E54" t="inlineStr">
        <is>
          <t>ALIANZAS ESTRATEGICAS</t>
        </is>
      </c>
      <c r="F54" t="inlineStr">
        <is>
          <t>TA</t>
        </is>
      </c>
      <c r="G54" t="inlineStr">
        <is>
          <t>2025/0054</t>
        </is>
      </c>
      <c r="H54" t="inlineStr">
        <is>
          <t>2025-11-04</t>
        </is>
      </c>
      <c r="I54" t="n">
        <v>20</v>
      </c>
    </row>
    <row r="55">
      <c r="A55" t="inlineStr">
        <is>
          <t>EXTERNO</t>
        </is>
      </c>
      <c r="B55" t="inlineStr">
        <is>
          <t>PROVEEDORES EXTERNOS</t>
        </is>
      </c>
      <c r="C55" t="inlineStr">
        <is>
          <t>externos</t>
        </is>
      </c>
      <c r="D55" t="inlineStr">
        <is>
          <t>APORTACION PROPIA</t>
        </is>
      </c>
      <c r="E55" t="inlineStr">
        <is>
          <t>ALIANZAS ESTRATEGICAS</t>
        </is>
      </c>
      <c r="F55" t="inlineStr">
        <is>
          <t>TA</t>
        </is>
      </c>
      <c r="G55" t="inlineStr">
        <is>
          <t>2025-055</t>
        </is>
      </c>
      <c r="H55" t="inlineStr">
        <is>
          <t>2025-11-04</t>
        </is>
      </c>
      <c r="I55" t="n">
        <v>8.18</v>
      </c>
    </row>
    <row r="56">
      <c r="A56" t="inlineStr">
        <is>
          <t>EXTERNO</t>
        </is>
      </c>
      <c r="B56" t="inlineStr">
        <is>
          <t>PROVEEDORES EXTERNOS</t>
        </is>
      </c>
      <c r="C56" t="inlineStr">
        <is>
          <t>externos</t>
        </is>
      </c>
      <c r="D56" t="inlineStr">
        <is>
          <t>AYUDA</t>
        </is>
      </c>
      <c r="E56" t="inlineStr">
        <is>
          <t>COMERCIALIZACION</t>
        </is>
      </c>
      <c r="F56" t="inlineStr">
        <is>
          <t>e-mail marketing</t>
        </is>
      </c>
      <c r="G56" t="inlineStr">
        <is>
          <t>SIB-4109801</t>
        </is>
      </c>
      <c r="H56" t="inlineStr">
        <is>
          <t>2025-11-21</t>
        </is>
      </c>
      <c r="I56" t="n">
        <v>180.09</v>
      </c>
    </row>
    <row r="57">
      <c r="A57" t="inlineStr">
        <is>
          <t>EXTERNO</t>
        </is>
      </c>
      <c r="B57" t="inlineStr">
        <is>
          <t>PROVEEDORES EXTERNOS</t>
        </is>
      </c>
      <c r="C57" t="inlineStr">
        <is>
          <t>externos</t>
        </is>
      </c>
      <c r="D57" t="inlineStr">
        <is>
          <t>APORTACION PROPIA</t>
        </is>
      </c>
      <c r="E57" t="inlineStr">
        <is>
          <t>ADMINISTRACION</t>
        </is>
      </c>
      <c r="F57" t="inlineStr">
        <is>
          <t>alquiler sala de reunión</t>
        </is>
      </c>
      <c r="G57" t="inlineStr">
        <is>
          <t>4644-2025-2289INV</t>
        </is>
      </c>
      <c r="H57" t="inlineStr">
        <is>
          <t>2025-11-24</t>
        </is>
      </c>
      <c r="I57" t="n">
        <v>27.5</v>
      </c>
    </row>
    <row r="58">
      <c r="A58" t="inlineStr">
        <is>
          <t>EXTERNO</t>
        </is>
      </c>
      <c r="B58" t="inlineStr">
        <is>
          <t>PROVEEDORES EXTERNOS</t>
        </is>
      </c>
      <c r="C58" t="inlineStr">
        <is>
          <t>externos</t>
        </is>
      </c>
      <c r="D58" t="inlineStr">
        <is>
          <t>APORTACION PROPIA</t>
        </is>
      </c>
      <c r="E58" t="inlineStr">
        <is>
          <t>ALIANZAS ESTRATEGICAS</t>
        </is>
      </c>
      <c r="F58" t="inlineStr">
        <is>
          <t>alquiler coche reunión</t>
        </is>
      </c>
      <c r="G58" t="inlineStr">
        <is>
          <t>3291000012688128</t>
        </is>
      </c>
      <c r="H58" t="inlineStr">
        <is>
          <t>2025-12-19</t>
        </is>
      </c>
      <c r="I58" t="n">
        <v>33.55</v>
      </c>
    </row>
    <row r="59">
      <c r="A59" t="inlineStr">
        <is>
          <t>EXTERNO</t>
        </is>
      </c>
      <c r="B59" t="inlineStr">
        <is>
          <t>PROVEEDORES EXTERNOS</t>
        </is>
      </c>
      <c r="C59" t="inlineStr">
        <is>
          <t>externos</t>
        </is>
      </c>
      <c r="D59" t="inlineStr">
        <is>
          <t>AYUDA</t>
        </is>
      </c>
      <c r="E59" t="inlineStr">
        <is>
          <t>LABORAL</t>
        </is>
      </c>
      <c r="F59" t="inlineStr">
        <is>
          <t>Gestoria</t>
        </is>
      </c>
      <c r="G59" t="inlineStr">
        <is>
          <t>2501003</t>
        </is>
      </c>
      <c r="H59" t="inlineStr">
        <is>
          <t>2025-12-15</t>
        </is>
      </c>
      <c r="I59" t="n">
        <v>110</v>
      </c>
    </row>
    <row r="60">
      <c r="A60" t="inlineStr">
        <is>
          <t>EXTERNO</t>
        </is>
      </c>
      <c r="B60" t="inlineStr">
        <is>
          <t>PROVEEDORES EXTERNOS</t>
        </is>
      </c>
      <c r="C60" t="inlineStr">
        <is>
          <t>externos</t>
        </is>
      </c>
      <c r="D60" t="inlineStr">
        <is>
          <t>AYUDA</t>
        </is>
      </c>
      <c r="E60" t="inlineStr">
        <is>
          <t>COMUNICACION</t>
        </is>
      </c>
      <c r="F60" t="inlineStr">
        <is>
          <t>soporte webinar</t>
        </is>
      </c>
      <c r="G60" t="inlineStr">
        <is>
          <t>INV345039957</t>
        </is>
      </c>
      <c r="H60" t="inlineStr">
        <is>
          <t>2026-03-09</t>
        </is>
      </c>
      <c r="I60" t="n">
        <v>15.99</v>
      </c>
    </row>
    <row r="61">
      <c r="A61" t="inlineStr">
        <is>
          <t>EXTERNO</t>
        </is>
      </c>
      <c r="B61" t="inlineStr">
        <is>
          <t>PROVEEDORES EXTERNOS</t>
        </is>
      </c>
      <c r="C61" t="inlineStr">
        <is>
          <t>externos</t>
        </is>
      </c>
      <c r="D61" t="inlineStr">
        <is>
          <t>AYUDA</t>
        </is>
      </c>
      <c r="E61" t="inlineStr">
        <is>
          <t>COMUNICACION</t>
        </is>
      </c>
      <c r="F61" t="inlineStr">
        <is>
          <t>soporte webinar</t>
        </is>
      </c>
      <c r="G61" t="inlineStr">
        <is>
          <t>INV341096775</t>
        </is>
      </c>
      <c r="H61" t="inlineStr">
        <is>
          <t>2026-02-09</t>
        </is>
      </c>
      <c r="I61" t="n">
        <v>15.99</v>
      </c>
    </row>
    <row r="62">
      <c r="A62" t="inlineStr">
        <is>
          <t>EXTERNO</t>
        </is>
      </c>
      <c r="B62" t="inlineStr">
        <is>
          <t>PROVEEDORES EXTERNOS</t>
        </is>
      </c>
      <c r="C62" t="inlineStr">
        <is>
          <t>externos</t>
        </is>
      </c>
      <c r="D62" t="inlineStr">
        <is>
          <t>AYUDA</t>
        </is>
      </c>
      <c r="E62" t="inlineStr">
        <is>
          <t>COMUNICACION</t>
        </is>
      </c>
      <c r="F62" t="inlineStr">
        <is>
          <t>soporte webinar</t>
        </is>
      </c>
      <c r="G62" t="inlineStr">
        <is>
          <t>INV337023537</t>
        </is>
      </c>
      <c r="H62" t="inlineStr">
        <is>
          <t>2026-01-09</t>
        </is>
      </c>
      <c r="I62" t="n">
        <v>13.59</v>
      </c>
    </row>
    <row r="63">
      <c r="A63" t="inlineStr">
        <is>
          <t>EXTERNO</t>
        </is>
      </c>
      <c r="B63" t="inlineStr">
        <is>
          <t>PROVEEDORES EXTERNOS</t>
        </is>
      </c>
      <c r="C63" t="inlineStr">
        <is>
          <t>externos</t>
        </is>
      </c>
      <c r="D63" t="inlineStr">
        <is>
          <t>APORTACION PROPIA</t>
        </is>
      </c>
      <c r="E63" t="inlineStr">
        <is>
          <t>ADMINISTRACION</t>
        </is>
      </c>
      <c r="F63" t="inlineStr">
        <is>
          <t>Teléfono/Internet</t>
        </is>
      </c>
      <c r="G63" t="inlineStr"/>
      <c r="H63" t="inlineStr">
        <is>
          <t>2026-03-25</t>
        </is>
      </c>
      <c r="I63" t="n">
        <v>7.62</v>
      </c>
    </row>
    <row r="64">
      <c r="A64" t="inlineStr">
        <is>
          <t>EXTERNO</t>
        </is>
      </c>
      <c r="B64" t="inlineStr">
        <is>
          <t>PROVEEDORES EXTERNOS</t>
        </is>
      </c>
      <c r="C64" t="inlineStr">
        <is>
          <t>externos</t>
        </is>
      </c>
      <c r="D64" t="inlineStr">
        <is>
          <t>APORTACION PROPIA</t>
        </is>
      </c>
      <c r="E64" t="inlineStr">
        <is>
          <t>ADMINISTRACION</t>
        </is>
      </c>
      <c r="F64" t="inlineStr">
        <is>
          <t>Teléfono/Internet</t>
        </is>
      </c>
      <c r="G64" t="inlineStr"/>
      <c r="H64" t="inlineStr">
        <is>
          <t>2026-03-25</t>
        </is>
      </c>
      <c r="I64" t="n">
        <v>53.72</v>
      </c>
    </row>
    <row r="65">
      <c r="A65" t="inlineStr">
        <is>
          <t>EXTERNO</t>
        </is>
      </c>
      <c r="B65" t="inlineStr">
        <is>
          <t>PROVEEDORES EXTERNOS</t>
        </is>
      </c>
      <c r="C65" t="inlineStr">
        <is>
          <t>externos</t>
        </is>
      </c>
      <c r="D65" t="inlineStr">
        <is>
          <t>APORTACION PROPIA</t>
        </is>
      </c>
      <c r="E65" t="inlineStr">
        <is>
          <t>ADMINISTRACION</t>
        </is>
      </c>
      <c r="F65" t="inlineStr">
        <is>
          <t>Teléfono/Internet</t>
        </is>
      </c>
      <c r="G65" t="inlineStr"/>
      <c r="H65" t="inlineStr">
        <is>
          <t>2026-02-25</t>
        </is>
      </c>
      <c r="I65" t="n">
        <v>53.56</v>
      </c>
    </row>
    <row r="66">
      <c r="A66" t="inlineStr">
        <is>
          <t>EXTERNO</t>
        </is>
      </c>
      <c r="B66" t="inlineStr">
        <is>
          <t>PROVEEDORES EXTERNOS</t>
        </is>
      </c>
      <c r="C66" t="inlineStr">
        <is>
          <t>externos</t>
        </is>
      </c>
      <c r="D66" t="inlineStr">
        <is>
          <t>APORTACION PROPIA</t>
        </is>
      </c>
      <c r="E66" t="inlineStr">
        <is>
          <t>ADMINISTRACION</t>
        </is>
      </c>
      <c r="F66" t="inlineStr">
        <is>
          <t>Teléfono/Internet</t>
        </is>
      </c>
      <c r="G66" t="inlineStr"/>
      <c r="H66" t="inlineStr">
        <is>
          <t>2026-01-25</t>
        </is>
      </c>
      <c r="I66" t="n">
        <v>52.06</v>
      </c>
    </row>
    <row r="67">
      <c r="A67" t="inlineStr">
        <is>
          <t>EXTERNO</t>
        </is>
      </c>
      <c r="B67" t="inlineStr">
        <is>
          <t>PROVEEDORES EXTERNOS</t>
        </is>
      </c>
      <c r="C67" t="inlineStr">
        <is>
          <t>externos</t>
        </is>
      </c>
      <c r="D67" t="inlineStr">
        <is>
          <t>AYUDA</t>
        </is>
      </c>
      <c r="E67" t="inlineStr">
        <is>
          <t>SOFTWARE</t>
        </is>
      </c>
      <c r="F67" t="inlineStr">
        <is>
          <t>Servidor</t>
        </is>
      </c>
      <c r="G67" t="inlineStr">
        <is>
          <t>202785955106</t>
        </is>
      </c>
      <c r="H67" t="inlineStr">
        <is>
          <t>2026-03-25</t>
        </is>
      </c>
      <c r="I67" t="n">
        <v>19</v>
      </c>
    </row>
    <row r="68">
      <c r="A68" t="inlineStr">
        <is>
          <t>EXTERNO</t>
        </is>
      </c>
      <c r="B68" t="inlineStr">
        <is>
          <t>PROVEEDORES EXTERNOS</t>
        </is>
      </c>
      <c r="C68" t="inlineStr">
        <is>
          <t>externos</t>
        </is>
      </c>
      <c r="D68" t="inlineStr">
        <is>
          <t>AYUDA</t>
        </is>
      </c>
      <c r="E68" t="inlineStr">
        <is>
          <t>SOFTWARE</t>
        </is>
      </c>
      <c r="F68" t="inlineStr">
        <is>
          <t>Servidor</t>
        </is>
      </c>
      <c r="G68" t="inlineStr">
        <is>
          <t>202785665358</t>
        </is>
      </c>
      <c r="H68" t="inlineStr">
        <is>
          <t>2026-02-25</t>
        </is>
      </c>
      <c r="I68" t="n">
        <v>19</v>
      </c>
    </row>
    <row r="69">
      <c r="A69" t="inlineStr">
        <is>
          <t>EXTERNO</t>
        </is>
      </c>
      <c r="B69" t="inlineStr">
        <is>
          <t>PROVEEDORES EXTERNOS</t>
        </is>
      </c>
      <c r="C69" t="inlineStr">
        <is>
          <t>externos</t>
        </is>
      </c>
      <c r="D69" t="inlineStr">
        <is>
          <t>AYUDA</t>
        </is>
      </c>
      <c r="E69" t="inlineStr">
        <is>
          <t>SOFTWARE</t>
        </is>
      </c>
      <c r="F69" t="inlineStr">
        <is>
          <t>Servidor</t>
        </is>
      </c>
      <c r="G69" t="inlineStr">
        <is>
          <t>202785368394</t>
        </is>
      </c>
      <c r="H69" t="inlineStr">
        <is>
          <t>2026-01-25</t>
        </is>
      </c>
      <c r="I69" t="n">
        <v>19</v>
      </c>
    </row>
    <row r="70">
      <c r="A70" t="inlineStr">
        <is>
          <t>EXTERNO</t>
        </is>
      </c>
      <c r="B70" t="inlineStr">
        <is>
          <t>PROVEEDORES EXTERNOS</t>
        </is>
      </c>
      <c r="C70" t="inlineStr">
        <is>
          <t>externos</t>
        </is>
      </c>
      <c r="D70" t="inlineStr">
        <is>
          <t>APORTACION PROPIA</t>
        </is>
      </c>
      <c r="E70" t="inlineStr">
        <is>
          <t>INVESTIGACION</t>
        </is>
      </c>
      <c r="F70" t="inlineStr">
        <is>
          <t>IG AUDIENCE DATA ANALYTICS PARA CAMPAÑA ADE MRAKETING</t>
        </is>
      </c>
      <c r="G70" t="inlineStr"/>
      <c r="H70" t="inlineStr">
        <is>
          <t>2026-02-10</t>
        </is>
      </c>
      <c r="I70" t="n">
        <v>2000</v>
      </c>
    </row>
    <row r="71">
      <c r="A71" t="inlineStr">
        <is>
          <t>EXTERNO</t>
        </is>
      </c>
      <c r="B71" t="inlineStr">
        <is>
          <t>PROVEEDORES EXTERNOS</t>
        </is>
      </c>
      <c r="C71" t="inlineStr">
        <is>
          <t>externos</t>
        </is>
      </c>
      <c r="D71" t="inlineStr">
        <is>
          <t>AYUDA</t>
        </is>
      </c>
      <c r="E71" t="inlineStr">
        <is>
          <t>SOFTWARE</t>
        </is>
      </c>
      <c r="F71" t="inlineStr">
        <is>
          <t>MONITOR PORTATIL</t>
        </is>
      </c>
      <c r="G71" t="inlineStr">
        <is>
          <t>ES63OZGAAEUD</t>
        </is>
      </c>
      <c r="H71" t="inlineStr">
        <is>
          <t>2026-01-14</t>
        </is>
      </c>
      <c r="I71" t="n">
        <v>63.94</v>
      </c>
    </row>
    <row r="72">
      <c r="A72" t="inlineStr">
        <is>
          <t>EXTERNO</t>
        </is>
      </c>
      <c r="B72" t="inlineStr">
        <is>
          <t>PROVEEDORES EXTERNOS</t>
        </is>
      </c>
      <c r="C72" t="inlineStr">
        <is>
          <t>externos</t>
        </is>
      </c>
      <c r="D72" t="inlineStr">
        <is>
          <t>AYUDA</t>
        </is>
      </c>
      <c r="E72" t="inlineStr">
        <is>
          <t>ALIANZAS ESTRATEGICAS</t>
        </is>
      </c>
      <c r="F72" t="inlineStr">
        <is>
          <t>DOSSIER PATROCINIO</t>
        </is>
      </c>
      <c r="G72" t="inlineStr">
        <is>
          <t>F260009</t>
        </is>
      </c>
      <c r="H72" t="inlineStr">
        <is>
          <t>2026-01-20</t>
        </is>
      </c>
      <c r="I72" t="n">
        <v>900</v>
      </c>
    </row>
    <row r="73">
      <c r="A73" t="inlineStr">
        <is>
          <t>AUTONOMA</t>
        </is>
      </c>
      <c r="B73" t="inlineStr">
        <is>
          <t>AUTONOMA</t>
        </is>
      </c>
      <c r="C73" t="inlineStr">
        <is>
          <t>autónoma</t>
        </is>
      </c>
      <c r="D73" t="inlineStr">
        <is>
          <t>AYUDA</t>
        </is>
      </c>
      <c r="E73" t="inlineStr">
        <is>
          <t>COMUNICACION</t>
        </is>
      </c>
      <c r="F73" t="inlineStr">
        <is>
          <t>COMUNICACION</t>
        </is>
      </c>
      <c r="G73" t="inlineStr"/>
      <c r="H73" t="inlineStr"/>
      <c r="I73" t="n">
        <v>1800</v>
      </c>
    </row>
    <row r="74">
      <c r="A74" t="inlineStr">
        <is>
          <t>AUTONOMA</t>
        </is>
      </c>
      <c r="B74" t="inlineStr">
        <is>
          <t>AUTONOMA</t>
        </is>
      </c>
      <c r="C74" t="inlineStr">
        <is>
          <t>autónoma</t>
        </is>
      </c>
      <c r="D74" t="inlineStr">
        <is>
          <t>APORTACION PROPIA</t>
        </is>
      </c>
      <c r="E74" t="inlineStr">
        <is>
          <t>ALIANZAS ESTRATEGICAS</t>
        </is>
      </c>
      <c r="F74" t="inlineStr">
        <is>
          <t>ALIANZAS ESTRATEGICAS</t>
        </is>
      </c>
      <c r="G74" t="inlineStr"/>
      <c r="H74" t="inlineStr"/>
      <c r="I74" t="n">
        <v>1000</v>
      </c>
    </row>
    <row r="75">
      <c r="A75" t="inlineStr">
        <is>
          <t>AUTONOMA</t>
        </is>
      </c>
      <c r="B75" t="inlineStr">
        <is>
          <t>AUTONOMA</t>
        </is>
      </c>
      <c r="C75" t="inlineStr">
        <is>
          <t>autónoma</t>
        </is>
      </c>
      <c r="D75" t="inlineStr">
        <is>
          <t>APORTACION PROPIA</t>
        </is>
      </c>
      <c r="E75" t="inlineStr">
        <is>
          <t>RESPONSABLE OPERACIONES</t>
        </is>
      </c>
      <c r="F75" t="inlineStr">
        <is>
          <t>RESPONSABLE OPERACIONES</t>
        </is>
      </c>
      <c r="G75" t="inlineStr"/>
      <c r="H75" t="inlineStr"/>
      <c r="I75" t="n">
        <v>2200</v>
      </c>
    </row>
    <row r="76">
      <c r="A76" t="inlineStr">
        <is>
          <t>EXTERNO</t>
        </is>
      </c>
      <c r="B76" t="inlineStr">
        <is>
          <t>PROVEEDORES EXTERNOS</t>
        </is>
      </c>
      <c r="C76" t="inlineStr">
        <is>
          <t>externos</t>
        </is>
      </c>
      <c r="D76" t="inlineStr">
        <is>
          <t>APORTACION PROPIA</t>
        </is>
      </c>
      <c r="E76" t="inlineStr">
        <is>
          <t>INVESTIGACION</t>
        </is>
      </c>
      <c r="F76" t="inlineStr">
        <is>
          <t>IG AUDIENCE DATA ANALYTICS PARA CAMPAÑA ADE MRAKETING</t>
        </is>
      </c>
      <c r="G76" t="inlineStr"/>
      <c r="H76" t="inlineStr"/>
      <c r="I76" t="n">
        <v>1800</v>
      </c>
    </row>
    <row r="77">
      <c r="A77" t="inlineStr">
        <is>
          <t>EXTERNO</t>
        </is>
      </c>
      <c r="B77" t="inlineStr">
        <is>
          <t>PROVEEDORES EXTERNOS</t>
        </is>
      </c>
      <c r="C77" t="inlineStr">
        <is>
          <t>externos</t>
        </is>
      </c>
      <c r="D77" t="inlineStr">
        <is>
          <t>AYUDA</t>
        </is>
      </c>
      <c r="E77" t="inlineStr">
        <is>
          <t>COMERCIALIZACION</t>
        </is>
      </c>
      <c r="F77" t="inlineStr">
        <is>
          <t>CAMPAÑA MARKETING</t>
        </is>
      </c>
      <c r="G77" t="inlineStr"/>
      <c r="H77" t="inlineStr"/>
      <c r="I77" t="n">
        <v>2660</v>
      </c>
    </row>
    <row r="78">
      <c r="A78" t="inlineStr">
        <is>
          <t>EXTERNO</t>
        </is>
      </c>
      <c r="B78" t="inlineStr">
        <is>
          <t>PROVEEDORES EXTERNOS</t>
        </is>
      </c>
      <c r="C78" t="inlineStr">
        <is>
          <t>externos</t>
        </is>
      </c>
      <c r="D78" t="inlineStr">
        <is>
          <t>AYUDA</t>
        </is>
      </c>
      <c r="E78" t="inlineStr">
        <is>
          <t>COMERCIALIZACION</t>
        </is>
      </c>
      <c r="F78" t="inlineStr">
        <is>
          <t>AUTOMATIZACIÓN DE REPORTING</t>
        </is>
      </c>
      <c r="G78" t="inlineStr"/>
      <c r="H78" t="inlineStr"/>
      <c r="I78" t="n">
        <v>3283.559</v>
      </c>
    </row>
    <row r="79">
      <c r="A79" t="inlineStr">
        <is>
          <t>EXTERNO</t>
        </is>
      </c>
      <c r="B79" t="inlineStr">
        <is>
          <t>PROVEEDORES EXTERNOS</t>
        </is>
      </c>
      <c r="C79" t="inlineStr">
        <is>
          <t>externos</t>
        </is>
      </c>
      <c r="D79" t="inlineStr">
        <is>
          <t>APORTACION PROPIA</t>
        </is>
      </c>
      <c r="E79" t="inlineStr">
        <is>
          <t>ADMINISTRACION</t>
        </is>
      </c>
      <c r="F79" t="inlineStr">
        <is>
          <t>GESTORIA</t>
        </is>
      </c>
      <c r="G79" t="inlineStr">
        <is>
          <t>2601187</t>
        </is>
      </c>
      <c r="H79" t="inlineStr"/>
      <c r="I79" t="n">
        <v>780</v>
      </c>
    </row>
    <row r="80">
      <c r="A80" t="inlineStr">
        <is>
          <t>EXTERNO</t>
        </is>
      </c>
      <c r="B80" t="inlineStr">
        <is>
          <t>PROVEEDORES EXTERNOS</t>
        </is>
      </c>
      <c r="C80" t="inlineStr">
        <is>
          <t>externos</t>
        </is>
      </c>
      <c r="D80" t="inlineStr">
        <is>
          <t>AYUDA</t>
        </is>
      </c>
      <c r="E80" t="inlineStr">
        <is>
          <t>COMUNICACION</t>
        </is>
      </c>
      <c r="F80" t="inlineStr">
        <is>
          <t>SOPORTE WEBINAR</t>
        </is>
      </c>
      <c r="G80" t="inlineStr">
        <is>
          <t>INV357460022</t>
        </is>
      </c>
      <c r="H80" t="inlineStr">
        <is>
          <t>2026-06-09</t>
        </is>
      </c>
      <c r="I80" t="n">
        <v>15.99</v>
      </c>
    </row>
    <row r="81">
      <c r="A81" t="inlineStr">
        <is>
          <t>EXTERNO</t>
        </is>
      </c>
      <c r="B81" t="inlineStr">
        <is>
          <t>PROVEEDORES EXTERNOS</t>
        </is>
      </c>
      <c r="C81" t="inlineStr">
        <is>
          <t>externos</t>
        </is>
      </c>
      <c r="D81" t="inlineStr">
        <is>
          <t>AYUDA</t>
        </is>
      </c>
      <c r="E81" t="inlineStr">
        <is>
          <t>COMUNICACION</t>
        </is>
      </c>
      <c r="F81" t="inlineStr">
        <is>
          <t>SOPORTE WEBINAR</t>
        </is>
      </c>
      <c r="G81" t="inlineStr">
        <is>
          <t>INV353435789</t>
        </is>
      </c>
      <c r="H81" t="inlineStr">
        <is>
          <t>2026-05-09</t>
        </is>
      </c>
      <c r="I81" t="n">
        <v>15.99</v>
      </c>
    </row>
    <row r="82">
      <c r="A82" t="inlineStr">
        <is>
          <t>EXTERNO</t>
        </is>
      </c>
      <c r="B82" t="inlineStr">
        <is>
          <t>PROVEEDORES EXTERNOS</t>
        </is>
      </c>
      <c r="C82" t="inlineStr">
        <is>
          <t>externos</t>
        </is>
      </c>
      <c r="D82" t="inlineStr">
        <is>
          <t>AYUDA</t>
        </is>
      </c>
      <c r="E82" t="inlineStr">
        <is>
          <t>COMUNICACION</t>
        </is>
      </c>
      <c r="F82" t="inlineStr">
        <is>
          <t>SOPORTE WEBINAR</t>
        </is>
      </c>
      <c r="G82" t="inlineStr">
        <is>
          <t>INV349200211</t>
        </is>
      </c>
      <c r="H82" t="inlineStr">
        <is>
          <t>2026-04-09</t>
        </is>
      </c>
      <c r="I82" t="n">
        <v>15.99</v>
      </c>
    </row>
    <row r="83">
      <c r="A83" t="inlineStr">
        <is>
          <t>EXTERNO</t>
        </is>
      </c>
      <c r="B83" t="inlineStr">
        <is>
          <t>PROVEEDORES EXTERNOS</t>
        </is>
      </c>
      <c r="C83" t="inlineStr">
        <is>
          <t>externos</t>
        </is>
      </c>
      <c r="D83" t="inlineStr">
        <is>
          <t>APORTACION PROPIA</t>
        </is>
      </c>
      <c r="E83" t="inlineStr">
        <is>
          <t>adminisTRACION</t>
        </is>
      </c>
      <c r="F83" t="inlineStr">
        <is>
          <t>TELÉFONO/INTERNET</t>
        </is>
      </c>
      <c r="G83" t="inlineStr">
        <is>
          <t>MMPVAEJ001****</t>
        </is>
      </c>
      <c r="H83" t="inlineStr">
        <is>
          <t>2026-05-25</t>
        </is>
      </c>
      <c r="I83" t="n">
        <v>7.44</v>
      </c>
    </row>
    <row r="84">
      <c r="A84" t="inlineStr">
        <is>
          <t>EXTERNO</t>
        </is>
      </c>
      <c r="B84" t="inlineStr">
        <is>
          <t>PROVEEDORES EXTERNOS</t>
        </is>
      </c>
      <c r="C84" t="inlineStr">
        <is>
          <t>externos</t>
        </is>
      </c>
      <c r="D84" t="inlineStr">
        <is>
          <t>APORTACION PROPIA</t>
        </is>
      </c>
      <c r="E84" t="inlineStr">
        <is>
          <t>adminisTRACION</t>
        </is>
      </c>
      <c r="F84" t="inlineStr">
        <is>
          <t>TELÉFONO/INTERNET</t>
        </is>
      </c>
      <c r="G84" t="inlineStr">
        <is>
          <t>MMPVADJ0025146</t>
        </is>
      </c>
      <c r="H84" t="inlineStr">
        <is>
          <t>2026-04-25</t>
        </is>
      </c>
      <c r="I84" t="n">
        <v>7.81</v>
      </c>
    </row>
    <row r="85">
      <c r="A85" t="inlineStr">
        <is>
          <t>EXTERNO</t>
        </is>
      </c>
      <c r="B85" t="inlineStr">
        <is>
          <t>PROVEEDORES EXTERNOS</t>
        </is>
      </c>
      <c r="C85" t="inlineStr">
        <is>
          <t>externos</t>
        </is>
      </c>
      <c r="D85" t="inlineStr">
        <is>
          <t>APORTACION PROPIA</t>
        </is>
      </c>
      <c r="E85" t="inlineStr">
        <is>
          <t>adminisTRACION</t>
        </is>
      </c>
      <c r="F85" t="inlineStr">
        <is>
          <t>TELÉFONO/INTERNET</t>
        </is>
      </c>
      <c r="G85" t="inlineStr">
        <is>
          <t>FMPVAEJ003****</t>
        </is>
      </c>
      <c r="H85" t="inlineStr">
        <is>
          <t>2026-05-25</t>
        </is>
      </c>
      <c r="I85" t="n">
        <v>53.72</v>
      </c>
    </row>
    <row r="86">
      <c r="A86" t="inlineStr">
        <is>
          <t>EXTERNO</t>
        </is>
      </c>
      <c r="B86" t="inlineStr">
        <is>
          <t>PROVEEDORES EXTERNOS</t>
        </is>
      </c>
      <c r="C86" t="inlineStr">
        <is>
          <t>externos</t>
        </is>
      </c>
      <c r="D86" t="inlineStr">
        <is>
          <t>APORTACION PROPIA</t>
        </is>
      </c>
      <c r="E86" t="inlineStr">
        <is>
          <t>adminisTRACION</t>
        </is>
      </c>
      <c r="F86" t="inlineStr">
        <is>
          <t>TELÉFONO/INTERNET</t>
        </is>
      </c>
      <c r="G86" t="inlineStr">
        <is>
          <t>FMPVADJ0062265</t>
        </is>
      </c>
      <c r="H86" t="inlineStr">
        <is>
          <t>2026-04-25</t>
        </is>
      </c>
      <c r="I86" t="n">
        <v>53.72</v>
      </c>
    </row>
    <row r="87">
      <c r="A87" t="inlineStr">
        <is>
          <t>EXTERNO</t>
        </is>
      </c>
      <c r="B87" t="inlineStr">
        <is>
          <t>PROVEEDORES EXTERNOS</t>
        </is>
      </c>
      <c r="C87" t="inlineStr">
        <is>
          <t>externos</t>
        </is>
      </c>
      <c r="D87" t="inlineStr">
        <is>
          <t>AYUDA</t>
        </is>
      </c>
      <c r="E87" t="inlineStr">
        <is>
          <t>SOFTWARE</t>
        </is>
      </c>
      <c r="F87" t="inlineStr">
        <is>
          <t>SERVIDOR</t>
        </is>
      </c>
      <c r="G87" t="inlineStr">
        <is>
          <t>202786711054</t>
        </is>
      </c>
      <c r="H87" t="inlineStr">
        <is>
          <t>2026-06-25</t>
        </is>
      </c>
      <c r="I87" t="n">
        <v>19</v>
      </c>
    </row>
    <row r="88">
      <c r="A88" t="inlineStr">
        <is>
          <t>EXTERNO</t>
        </is>
      </c>
      <c r="B88" t="inlineStr">
        <is>
          <t>PROVEEDORES EXTERNOS</t>
        </is>
      </c>
      <c r="C88" t="inlineStr">
        <is>
          <t>externos</t>
        </is>
      </c>
      <c r="D88" t="inlineStr">
        <is>
          <t>AYUDA</t>
        </is>
      </c>
      <c r="E88" t="inlineStr">
        <is>
          <t>SOFTWARE</t>
        </is>
      </c>
      <c r="F88" t="inlineStr">
        <is>
          <t>SERVIDOR</t>
        </is>
      </c>
      <c r="G88" t="inlineStr">
        <is>
          <t>202786492020</t>
        </is>
      </c>
      <c r="H88" t="inlineStr">
        <is>
          <t>2026-05-25</t>
        </is>
      </c>
      <c r="I88" t="n">
        <v>19</v>
      </c>
    </row>
    <row r="89">
      <c r="A89" t="inlineStr">
        <is>
          <t>EXTERNO</t>
        </is>
      </c>
      <c r="B89" t="inlineStr">
        <is>
          <t>PROVEEDORES EXTERNOS</t>
        </is>
      </c>
      <c r="C89" t="inlineStr">
        <is>
          <t>externos</t>
        </is>
      </c>
      <c r="D89" t="inlineStr">
        <is>
          <t>AYUDA</t>
        </is>
      </c>
      <c r="E89" t="inlineStr">
        <is>
          <t>SOFTWARE</t>
        </is>
      </c>
      <c r="F89" t="inlineStr">
        <is>
          <t>SERVIDOR</t>
        </is>
      </c>
      <c r="G89" t="inlineStr">
        <is>
          <t>202786241049</t>
        </is>
      </c>
      <c r="H89" t="inlineStr">
        <is>
          <t>2026-04-25</t>
        </is>
      </c>
      <c r="I89" t="n">
        <v>19</v>
      </c>
    </row>
    <row r="90">
      <c r="A90" t="inlineStr">
        <is>
          <t>EXTERNO</t>
        </is>
      </c>
      <c r="B90" t="inlineStr">
        <is>
          <t>PROVEEDORES EXTERNOS</t>
        </is>
      </c>
      <c r="C90" t="inlineStr">
        <is>
          <t>externos</t>
        </is>
      </c>
      <c r="D90" t="inlineStr">
        <is>
          <t>AYUDA</t>
        </is>
      </c>
      <c r="E90" t="inlineStr">
        <is>
          <t>INVESTIGACION</t>
        </is>
      </c>
      <c r="F90" t="inlineStr">
        <is>
          <t>Artículo Datos y Gestion</t>
        </is>
      </c>
      <c r="G90" t="inlineStr">
        <is>
          <t>07/26</t>
        </is>
      </c>
      <c r="H90" t="inlineStr">
        <is>
          <t>2026-05-13</t>
        </is>
      </c>
      <c r="I90" t="n">
        <v>480</v>
      </c>
    </row>
    <row r="91">
      <c r="A91" t="inlineStr">
        <is>
          <t>NOMINA</t>
        </is>
      </c>
      <c r="B91" t="inlineStr">
        <is>
          <t>NOMINAS</t>
        </is>
      </c>
      <c r="C91" t="inlineStr">
        <is>
          <t>nómina</t>
        </is>
      </c>
      <c r="D91" t="inlineStr">
        <is>
          <t>AYUDA</t>
        </is>
      </c>
      <c r="E91" t="inlineStr">
        <is>
          <t>COMERCIALIZACION</t>
        </is>
      </c>
      <c r="F91" t="inlineStr">
        <is>
          <t>Carles Harillo Magnet</t>
        </is>
      </c>
      <c r="G91" t="inlineStr"/>
      <c r="H91" t="inlineStr">
        <is>
          <t>2025-09-29</t>
        </is>
      </c>
      <c r="I91" t="n">
        <v>1309.28</v>
      </c>
    </row>
    <row r="92">
      <c r="A92" t="inlineStr">
        <is>
          <t>NOMINA</t>
        </is>
      </c>
      <c r="B92" t="inlineStr">
        <is>
          <t>NOMINAS</t>
        </is>
      </c>
      <c r="C92" t="inlineStr">
        <is>
          <t>nómina</t>
        </is>
      </c>
      <c r="D92" t="inlineStr">
        <is>
          <t>AYUDA</t>
        </is>
      </c>
      <c r="E92" t="inlineStr">
        <is>
          <t>COMERCIALIZACION</t>
        </is>
      </c>
      <c r="F92" t="inlineStr">
        <is>
          <t>Seguridad Social</t>
        </is>
      </c>
      <c r="G92" t="inlineStr"/>
      <c r="H92" t="inlineStr"/>
      <c r="I92" t="n">
        <v>539.7</v>
      </c>
    </row>
    <row r="93">
      <c r="A93" t="inlineStr">
        <is>
          <t>NOMINA</t>
        </is>
      </c>
      <c r="B93" t="inlineStr">
        <is>
          <t>NOMINAS</t>
        </is>
      </c>
      <c r="C93" t="inlineStr">
        <is>
          <t>nómina</t>
        </is>
      </c>
      <c r="D93" t="inlineStr">
        <is>
          <t>AYUDA</t>
        </is>
      </c>
      <c r="E93" t="inlineStr">
        <is>
          <t>COMERCIALIZACION</t>
        </is>
      </c>
      <c r="F93" t="inlineStr">
        <is>
          <t>Carles Harillo Magnet</t>
        </is>
      </c>
      <c r="G93" t="inlineStr"/>
      <c r="H93" t="inlineStr"/>
      <c r="I93" t="n">
        <v>1562.43</v>
      </c>
    </row>
    <row r="94">
      <c r="A94" t="inlineStr">
        <is>
          <t>NOMINA</t>
        </is>
      </c>
      <c r="B94" t="inlineStr">
        <is>
          <t>NOMINAS</t>
        </is>
      </c>
      <c r="C94" t="inlineStr">
        <is>
          <t>nómina</t>
        </is>
      </c>
      <c r="D94" t="inlineStr">
        <is>
          <t>AYUDA</t>
        </is>
      </c>
      <c r="E94" t="inlineStr">
        <is>
          <t>COMERCIALIZACION</t>
        </is>
      </c>
      <c r="F94" t="inlineStr">
        <is>
          <t>Seguridad Social</t>
        </is>
      </c>
      <c r="G94" t="inlineStr"/>
      <c r="H94" t="inlineStr"/>
      <c r="I94" t="n">
        <v>539.7</v>
      </c>
    </row>
    <row r="95">
      <c r="A95" t="inlineStr">
        <is>
          <t>NOMINA</t>
        </is>
      </c>
      <c r="B95" t="inlineStr">
        <is>
          <t>NOMINAS</t>
        </is>
      </c>
      <c r="C95" t="inlineStr">
        <is>
          <t>nómina</t>
        </is>
      </c>
      <c r="D95" t="inlineStr">
        <is>
          <t>AYUDA</t>
        </is>
      </c>
      <c r="E95" t="inlineStr">
        <is>
          <t>COMERCIALIZACION</t>
        </is>
      </c>
      <c r="F95" t="inlineStr">
        <is>
          <t>Darlene Rodríguez Fernandez</t>
        </is>
      </c>
      <c r="G95" t="inlineStr"/>
      <c r="H95" t="inlineStr"/>
      <c r="I95" t="n">
        <v>42.69</v>
      </c>
    </row>
    <row r="96">
      <c r="A96" t="inlineStr">
        <is>
          <t>NOMINA</t>
        </is>
      </c>
      <c r="B96" t="inlineStr">
        <is>
          <t>NOMINAS</t>
        </is>
      </c>
      <c r="C96" t="inlineStr">
        <is>
          <t>nómina</t>
        </is>
      </c>
      <c r="D96" t="inlineStr">
        <is>
          <t>AYUDA</t>
        </is>
      </c>
      <c r="E96" t="inlineStr">
        <is>
          <t>COMERCIALIZACION</t>
        </is>
      </c>
      <c r="F96" t="inlineStr">
        <is>
          <t>Seguridad Social</t>
        </is>
      </c>
      <c r="G96" t="inlineStr"/>
      <c r="H96" t="inlineStr"/>
      <c r="I96" t="n">
        <v>51.17</v>
      </c>
    </row>
    <row r="98">
      <c r="A98" t="inlineStr">
        <is>
          <t>Nota</t>
        </is>
      </c>
      <c r="B98" t="inlineStr">
        <is>
          <t>Fuente: relacion_gastos.xlsx (Hoja 1), normalizacion del gasto y presupuesto autorizado PDF.</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sheetData>
    <row r="1">
      <c r="A1" t="inlineStr">
        <is>
          <t>gasto_original</t>
        </is>
      </c>
      <c r="B1" t="inlineStr">
        <is>
          <t>gasto_normalizado</t>
        </is>
      </c>
      <c r="C1" t="inlineStr">
        <is>
          <t>frecuencia</t>
        </is>
      </c>
    </row>
    <row r="2">
      <c r="A2" t="inlineStr">
        <is>
          <t>AUTONOMA</t>
        </is>
      </c>
      <c r="B2" t="inlineStr">
        <is>
          <t>autónoma</t>
        </is>
      </c>
      <c r="C2" t="n">
        <v>3</v>
      </c>
    </row>
    <row r="3">
      <c r="A3" t="inlineStr">
        <is>
          <t>PROVEEDORES EXTERNOS</t>
        </is>
      </c>
      <c r="B3" t="inlineStr">
        <is>
          <t>externos</t>
        </is>
      </c>
      <c r="C3" t="n">
        <v>86</v>
      </c>
    </row>
    <row r="4">
      <c r="A4" t="inlineStr">
        <is>
          <t>NOMINAS</t>
        </is>
      </c>
      <c r="B4" t="inlineStr">
        <is>
          <t>nómina</t>
        </is>
      </c>
      <c r="C4" t="n">
        <v>6</v>
      </c>
    </row>
    <row r="6">
      <c r="A6" t="inlineStr">
        <is>
          <t>Nota</t>
        </is>
      </c>
      <c r="B6" t="inlineStr">
        <is>
          <t>La normalizacion consolida variantes del campo gasto para agrupar conceptos equivalentes.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2026-06-29T12:02:07Z</dcterms:created>
  <dcterms:modified xmlns:dcterms="http://purl.org/dc/terms/" xmlns:xsi="http://www.w3.org/2001/XMLSchema-instance" xsi:type="dcterms:W3CDTF">2026-09-01T11:51:54Z</dcterms:modified>
</cp:coreProperties>
</file>